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ㄷ 경제성공학/과제/"/>
    </mc:Choice>
  </mc:AlternateContent>
  <xr:revisionPtr revIDLastSave="0" documentId="8_{097B31D5-8B4C-C64B-874D-27F3DC35AA37}" xr6:coauthVersionLast="45" xr6:coauthVersionMax="45" xr10:uidLastSave="{00000000-0000-0000-0000-000000000000}"/>
  <bookViews>
    <workbookView xWindow="12420" yWindow="460" windowWidth="14680" windowHeight="17120" activeTab="6" xr2:uid="{37B6608A-DA3D-DD43-ACA3-1297A55C2A2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chart.v1.0" hidden="1">Sheet2!$C$12:$C$18</definedName>
    <definedName name="_xlchart.v1.1" hidden="1">Sheet2!$D$12:$D$18</definedName>
    <definedName name="_xlchart.v1.2" hidden="1">Sheet2!$C$12:$C$18</definedName>
    <definedName name="_xlchart.v1.3" hidden="1">Sheet2!$D$12:$D$18</definedName>
    <definedName name="_xlchart.v2.4" hidden="1">Sheet2!$C$12:$C$18</definedName>
    <definedName name="_xlchart.v2.5" hidden="1">Sheet2!$D$12:$D$18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3" i="7" l="1"/>
  <c r="C77" i="7"/>
  <c r="B77" i="7"/>
  <c r="B45" i="7"/>
  <c r="B81" i="7"/>
  <c r="B82" i="7"/>
  <c r="B83" i="7"/>
  <c r="B84" i="7"/>
  <c r="B85" i="7"/>
  <c r="B86" i="7"/>
  <c r="B87" i="7"/>
  <c r="B88" i="7"/>
  <c r="B89" i="7"/>
  <c r="B90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49" i="7"/>
  <c r="C49" i="7"/>
  <c r="D49" i="7"/>
  <c r="B50" i="7"/>
  <c r="C50" i="7"/>
  <c r="D50" i="7"/>
  <c r="B51" i="7"/>
  <c r="C51" i="7"/>
  <c r="D51" i="7"/>
  <c r="B52" i="7"/>
  <c r="C52" i="7"/>
  <c r="D52" i="7"/>
  <c r="B53" i="7"/>
  <c r="C53" i="7"/>
  <c r="D53" i="7"/>
  <c r="B54" i="7"/>
  <c r="C54" i="7"/>
  <c r="D54" i="7"/>
  <c r="B55" i="7"/>
  <c r="C55" i="7"/>
  <c r="D55" i="7"/>
  <c r="B56" i="7"/>
  <c r="C56" i="7"/>
  <c r="D56" i="7"/>
  <c r="B57" i="7"/>
  <c r="C57" i="7"/>
  <c r="D57" i="7"/>
  <c r="B58" i="7"/>
  <c r="C58" i="7"/>
  <c r="D58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B37" i="7"/>
  <c r="C37" i="7"/>
  <c r="D37" i="7"/>
  <c r="E37" i="7"/>
  <c r="B38" i="7"/>
  <c r="C38" i="7"/>
  <c r="D38" i="7"/>
  <c r="E38" i="7"/>
  <c r="B39" i="7"/>
  <c r="C39" i="7"/>
  <c r="D39" i="7"/>
  <c r="E39" i="7"/>
  <c r="B40" i="7"/>
  <c r="C40" i="7"/>
  <c r="D40" i="7"/>
  <c r="E40" i="7"/>
  <c r="B41" i="7"/>
  <c r="C41" i="7"/>
  <c r="D41" i="7"/>
  <c r="E41" i="7"/>
  <c r="B42" i="7"/>
  <c r="C42" i="7"/>
  <c r="D42" i="7"/>
  <c r="E42" i="7"/>
  <c r="B80" i="7"/>
  <c r="C64" i="7"/>
  <c r="B64" i="7"/>
  <c r="D48" i="7"/>
  <c r="D61" i="7" s="1"/>
  <c r="C48" i="7"/>
  <c r="C61" i="7" s="1"/>
  <c r="B48" i="7"/>
  <c r="B61" i="7" s="1"/>
  <c r="B32" i="7"/>
  <c r="E32" i="7"/>
  <c r="E45" i="7" s="1"/>
  <c r="D32" i="7"/>
  <c r="D45" i="7" s="1"/>
  <c r="C32" i="7"/>
  <c r="C45" i="7" s="1"/>
  <c r="B17" i="7"/>
  <c r="C17" i="7"/>
  <c r="D17" i="7"/>
  <c r="E17" i="7"/>
  <c r="F17" i="7"/>
  <c r="B18" i="7"/>
  <c r="C18" i="7"/>
  <c r="D18" i="7"/>
  <c r="E18" i="7"/>
  <c r="F18" i="7"/>
  <c r="B19" i="7"/>
  <c r="C19" i="7"/>
  <c r="D19" i="7"/>
  <c r="E19" i="7"/>
  <c r="F19" i="7"/>
  <c r="B20" i="7"/>
  <c r="C20" i="7"/>
  <c r="D20" i="7"/>
  <c r="E20" i="7"/>
  <c r="F20" i="7"/>
  <c r="B21" i="7"/>
  <c r="C21" i="7"/>
  <c r="D21" i="7"/>
  <c r="E21" i="7"/>
  <c r="F21" i="7"/>
  <c r="B22" i="7"/>
  <c r="C22" i="7"/>
  <c r="D22" i="7"/>
  <c r="E22" i="7"/>
  <c r="F22" i="7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F16" i="7"/>
  <c r="E16" i="7"/>
  <c r="D16" i="7"/>
  <c r="C16" i="7"/>
  <c r="C29" i="7" s="1"/>
  <c r="B16" i="7"/>
  <c r="C26" i="6"/>
  <c r="D26" i="6"/>
  <c r="B26" i="6"/>
  <c r="B23" i="6"/>
  <c r="C23" i="6"/>
  <c r="D23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D15" i="6"/>
  <c r="C15" i="6"/>
  <c r="B15" i="6"/>
  <c r="B8" i="5"/>
  <c r="C8" i="5"/>
  <c r="D8" i="5"/>
  <c r="D3" i="5"/>
  <c r="D4" i="5"/>
  <c r="D5" i="5"/>
  <c r="D2" i="5"/>
  <c r="D11" i="4"/>
  <c r="D4" i="4"/>
  <c r="D5" i="4"/>
  <c r="D6" i="4"/>
  <c r="D7" i="4"/>
  <c r="D8" i="4"/>
  <c r="D3" i="4"/>
  <c r="C11" i="4"/>
  <c r="C4" i="4"/>
  <c r="C5" i="4"/>
  <c r="C6" i="4"/>
  <c r="C7" i="4"/>
  <c r="C8" i="4"/>
  <c r="C3" i="4"/>
  <c r="B11" i="4"/>
  <c r="B8" i="3"/>
  <c r="C4" i="3"/>
  <c r="C3" i="3"/>
  <c r="C5" i="3" s="1"/>
  <c r="C4" i="2"/>
  <c r="C5" i="2"/>
  <c r="C6" i="2"/>
  <c r="C7" i="2"/>
  <c r="C8" i="2"/>
  <c r="C9" i="2"/>
  <c r="C3" i="2"/>
  <c r="D29" i="7" l="1"/>
  <c r="E29" i="7"/>
  <c r="B29" i="7"/>
  <c r="F29" i="7"/>
  <c r="B12" i="2"/>
  <c r="B2" i="1"/>
</calcChain>
</file>

<file path=xl/sharedStrings.xml><?xml version="1.0" encoding="utf-8"?>
<sst xmlns="http://schemas.openxmlformats.org/spreadsheetml/2006/main" count="77" uniqueCount="48">
  <si>
    <t>투자기간</t>
    <phoneticPr fontId="1" type="noConversion"/>
  </si>
  <si>
    <t>수익률</t>
    <phoneticPr fontId="1" type="noConversion"/>
  </si>
  <si>
    <t>기간</t>
    <phoneticPr fontId="1" type="noConversion"/>
  </si>
  <si>
    <t>현금흐름</t>
    <phoneticPr fontId="1" type="noConversion"/>
  </si>
  <si>
    <t>현재가치</t>
    <phoneticPr fontId="1" type="noConversion"/>
  </si>
  <si>
    <t>i(%)</t>
    <phoneticPr fontId="1" type="noConversion"/>
  </si>
  <si>
    <t>PW(i)</t>
    <phoneticPr fontId="1" type="noConversion"/>
  </si>
  <si>
    <t>현재가치의합</t>
    <phoneticPr fontId="1" type="noConversion"/>
  </si>
  <si>
    <t>이자율</t>
    <phoneticPr fontId="1" type="noConversion"/>
  </si>
  <si>
    <t>X</t>
    <phoneticPr fontId="1" type="noConversion"/>
  </si>
  <si>
    <t>n</t>
    <phoneticPr fontId="1" type="noConversion"/>
  </si>
  <si>
    <t>합</t>
    <phoneticPr fontId="1" type="noConversion"/>
  </si>
  <si>
    <t>X의 값</t>
    <phoneticPr fontId="1" type="noConversion"/>
  </si>
  <si>
    <t>IRR</t>
    <phoneticPr fontId="1" type="noConversion"/>
  </si>
  <si>
    <t>수입10%증가</t>
    <phoneticPr fontId="1" type="noConversion"/>
  </si>
  <si>
    <t>ㄷ 변화</t>
    <phoneticPr fontId="1" type="noConversion"/>
  </si>
  <si>
    <t>연도</t>
    <phoneticPr fontId="1" type="noConversion"/>
  </si>
  <si>
    <t>대안 A</t>
    <phoneticPr fontId="1" type="noConversion"/>
  </si>
  <si>
    <t>대안 B</t>
    <phoneticPr fontId="1" type="noConversion"/>
  </si>
  <si>
    <t>B-A</t>
    <phoneticPr fontId="1" type="noConversion"/>
  </si>
  <si>
    <t>현재</t>
    <phoneticPr fontId="1" type="noConversion"/>
  </si>
  <si>
    <t>JTT</t>
    <phoneticPr fontId="1" type="noConversion"/>
  </si>
  <si>
    <t>무재고</t>
    <phoneticPr fontId="1" type="noConversion"/>
  </si>
  <si>
    <t>증분분석</t>
    <phoneticPr fontId="1" type="noConversion"/>
  </si>
  <si>
    <t>JTT-현재</t>
    <phoneticPr fontId="1" type="noConversion"/>
  </si>
  <si>
    <t>무재고-JTT</t>
    <phoneticPr fontId="1" type="noConversion"/>
  </si>
  <si>
    <t>무재고-현재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</si>
  <si>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</si>
  <si>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</si>
  <si>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</si>
  <si>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</si>
  <si>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</si>
  <si>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</si>
  <si>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A2-A1</t>
    <phoneticPr fontId="1" type="noConversion"/>
  </si>
  <si>
    <t>A3-A1</t>
    <phoneticPr fontId="1" type="noConversion"/>
  </si>
  <si>
    <t>A4-A1</t>
    <phoneticPr fontId="1" type="noConversion"/>
  </si>
  <si>
    <t>A5-A1</t>
    <phoneticPr fontId="1" type="noConversion"/>
  </si>
  <si>
    <t>A6-A1</t>
    <phoneticPr fontId="1" type="noConversion"/>
  </si>
  <si>
    <t>A3-A2</t>
    <phoneticPr fontId="1" type="noConversion"/>
  </si>
  <si>
    <t>A4-A2</t>
    <phoneticPr fontId="1" type="noConversion"/>
  </si>
  <si>
    <t>A5-A2</t>
    <phoneticPr fontId="1" type="noConversion"/>
  </si>
  <si>
    <t>A6-A2</t>
    <phoneticPr fontId="1" type="noConversion"/>
  </si>
  <si>
    <t>A4-A3</t>
    <phoneticPr fontId="1" type="noConversion"/>
  </si>
  <si>
    <t>A5-A3</t>
    <phoneticPr fontId="1" type="noConversion"/>
  </si>
  <si>
    <t>A6-A3</t>
    <phoneticPr fontId="1" type="noConversion"/>
  </si>
  <si>
    <t>A5-A4</t>
    <phoneticPr fontId="1" type="noConversion"/>
  </si>
  <si>
    <t>A6-A4</t>
    <phoneticPr fontId="1" type="noConversion"/>
  </si>
  <si>
    <t>A6-A5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</si>
</sst>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이자율 변화에 대한 현재가치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이자율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Sheet2!$C$12:$C$18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4.1239999999999997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D7-F34C-B31E-CD1728A82DB1}"/>
            </c:ext>
          </c:extLst>
        </c:ser>
        <c:ser>
          <c:idx val="1"/>
          <c:order val="1"/>
          <c:tx>
            <c:v>현재가치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Sheet2!$D$12:$D$18</c:f>
              <c:numCache>
                <c:formatCode>General</c:formatCode>
                <c:ptCount val="7"/>
                <c:pt idx="0">
                  <c:v>103.11799999999999</c:v>
                </c:pt>
                <c:pt idx="1">
                  <c:v>2.9260000000000002</c:v>
                </c:pt>
                <c:pt idx="2">
                  <c:v>0</c:v>
                </c:pt>
                <c:pt idx="3">
                  <c:v>-29.126999999999999</c:v>
                </c:pt>
                <c:pt idx="4">
                  <c:v>-44.786999999999999</c:v>
                </c:pt>
                <c:pt idx="5">
                  <c:v>-54.051000000000002</c:v>
                </c:pt>
                <c:pt idx="6">
                  <c:v>-60.167999999999999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D7-F34C-B31E-CD1728A82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147759"/>
        <c:axId val="1504425423"/>
      </c:lineChart>
      <c:catAx>
        <c:axId val="1504147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504425423"/>
        <c:crosses val="autoZero"/>
        <c:auto val="1"/>
        <c:lblAlgn val="ctr"/>
        <c:lblOffset val="100"/>
        <c:noMultiLvlLbl val="0"/>
      </c:catAx>
      <c:valAx>
        <c:axId val="15044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50414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4</xdr:row>
      <xdr:rowOff>31750</xdr:rowOff>
    </xdr:from>
    <xdr:to>
      <xdr:col>9</xdr:col>
      <xdr:colOff>285750</xdr:colOff>
      <xdr:row>16</xdr:row>
      <xdr:rowOff>31750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0283506-1EE0-4144-BFF2-B76549D28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514E-CCB6-5B4F-92BB-D4B94B6C0287}">
  <dimension ref="A1:B45"/>
  <sheetViews>
    <sheetView topLeftCell="A16" workbookViewId="0">
      <selection activeCell="B2" sqref="B2"/>
    </sheetView>
  </sheetViews>
  <sheetFormatPr baseColWidth="10" defaultRowHeight="18"/>
  <sheetData>
    <row r="1" spans="1:2">
      <c r="A1" t="s">
        <v>0</v>
      </c>
      <c r="B1">
        <v>40</v>
      </c>
    </row>
    <row r="2" spans="1:2">
      <c r="A2" t="s">
        <v>1</v>
      </c>
      <c r="B2" s="1">
        <f>IRR(B5:B55)</f>
        <v>0.17682658156498365</v>
      </c>
    </row>
    <row r="4" spans="1:2">
      <c r="A4" t="s">
        <v>2</v>
      </c>
    </row>
    <row r="5" spans="1:2">
      <c r="A5">
        <v>0</v>
      </c>
      <c r="B5">
        <v>-8</v>
      </c>
    </row>
    <row r="6" spans="1:2">
      <c r="A6">
        <v>1</v>
      </c>
      <c r="B6">
        <v>0</v>
      </c>
    </row>
    <row r="7" spans="1:2">
      <c r="A7">
        <v>2</v>
      </c>
      <c r="B7">
        <v>0</v>
      </c>
    </row>
    <row r="8" spans="1:2">
      <c r="A8">
        <v>3</v>
      </c>
      <c r="B8">
        <v>0</v>
      </c>
    </row>
    <row r="9" spans="1:2">
      <c r="A9">
        <v>4</v>
      </c>
      <c r="B9">
        <v>0</v>
      </c>
    </row>
    <row r="10" spans="1:2">
      <c r="A10">
        <v>5</v>
      </c>
      <c r="B10">
        <v>0</v>
      </c>
    </row>
    <row r="11" spans="1:2">
      <c r="A11">
        <v>6</v>
      </c>
      <c r="B11">
        <v>0</v>
      </c>
    </row>
    <row r="12" spans="1:2">
      <c r="A12">
        <v>7</v>
      </c>
      <c r="B12">
        <v>0</v>
      </c>
    </row>
    <row r="13" spans="1:2">
      <c r="A13">
        <v>8</v>
      </c>
      <c r="B13">
        <v>0</v>
      </c>
    </row>
    <row r="14" spans="1:2">
      <c r="A14">
        <v>9</v>
      </c>
      <c r="B14">
        <v>0</v>
      </c>
    </row>
    <row r="15" spans="1:2">
      <c r="A15">
        <v>10</v>
      </c>
      <c r="B15">
        <v>0</v>
      </c>
    </row>
    <row r="16" spans="1:2">
      <c r="A16">
        <v>11</v>
      </c>
      <c r="B16">
        <v>0</v>
      </c>
    </row>
    <row r="17" spans="1:2">
      <c r="A17">
        <v>12</v>
      </c>
      <c r="B17">
        <v>0</v>
      </c>
    </row>
    <row r="18" spans="1:2">
      <c r="A18">
        <v>13</v>
      </c>
      <c r="B18">
        <v>0</v>
      </c>
    </row>
    <row r="19" spans="1:2">
      <c r="A19">
        <v>14</v>
      </c>
      <c r="B19">
        <v>0</v>
      </c>
    </row>
    <row r="20" spans="1:2">
      <c r="A20">
        <v>15</v>
      </c>
      <c r="B20">
        <v>0</v>
      </c>
    </row>
    <row r="21" spans="1:2">
      <c r="A21">
        <v>16</v>
      </c>
      <c r="B21">
        <v>0</v>
      </c>
    </row>
    <row r="22" spans="1:2">
      <c r="A22">
        <v>17</v>
      </c>
      <c r="B22">
        <v>0</v>
      </c>
    </row>
    <row r="23" spans="1:2">
      <c r="A23">
        <v>18</v>
      </c>
      <c r="B23">
        <v>0</v>
      </c>
    </row>
    <row r="24" spans="1:2">
      <c r="A24">
        <v>19</v>
      </c>
      <c r="B24">
        <v>0</v>
      </c>
    </row>
    <row r="25" spans="1:2">
      <c r="A25">
        <v>20</v>
      </c>
      <c r="B25">
        <v>0</v>
      </c>
    </row>
    <row r="26" spans="1:2">
      <c r="A26">
        <v>21</v>
      </c>
      <c r="B26">
        <v>0</v>
      </c>
    </row>
    <row r="27" spans="1:2">
      <c r="A27">
        <v>22</v>
      </c>
      <c r="B27">
        <v>0</v>
      </c>
    </row>
    <row r="28" spans="1:2">
      <c r="A28">
        <v>23</v>
      </c>
      <c r="B28">
        <v>0</v>
      </c>
    </row>
    <row r="29" spans="1:2">
      <c r="A29">
        <v>24</v>
      </c>
      <c r="B29">
        <v>0</v>
      </c>
    </row>
    <row r="30" spans="1:2">
      <c r="A30">
        <v>25</v>
      </c>
      <c r="B30">
        <v>0</v>
      </c>
    </row>
    <row r="31" spans="1:2">
      <c r="A31">
        <v>26</v>
      </c>
      <c r="B31">
        <v>0</v>
      </c>
    </row>
    <row r="32" spans="1:2">
      <c r="A32">
        <v>27</v>
      </c>
      <c r="B32">
        <v>0</v>
      </c>
    </row>
    <row r="33" spans="1:2">
      <c r="A33">
        <v>28</v>
      </c>
      <c r="B33">
        <v>0</v>
      </c>
    </row>
    <row r="34" spans="1:2">
      <c r="A34">
        <v>29</v>
      </c>
      <c r="B34">
        <v>0</v>
      </c>
    </row>
    <row r="35" spans="1:2">
      <c r="A35">
        <v>30</v>
      </c>
      <c r="B35">
        <v>0</v>
      </c>
    </row>
    <row r="36" spans="1:2">
      <c r="A36">
        <v>31</v>
      </c>
      <c r="B36">
        <v>0</v>
      </c>
    </row>
    <row r="37" spans="1:2">
      <c r="A37">
        <v>32</v>
      </c>
      <c r="B37">
        <v>0</v>
      </c>
    </row>
    <row r="38" spans="1:2">
      <c r="A38">
        <v>33</v>
      </c>
      <c r="B38">
        <v>0</v>
      </c>
    </row>
    <row r="39" spans="1:2">
      <c r="A39">
        <v>34</v>
      </c>
      <c r="B39">
        <v>0</v>
      </c>
    </row>
    <row r="40" spans="1:2">
      <c r="A40">
        <v>35</v>
      </c>
      <c r="B40">
        <v>0</v>
      </c>
    </row>
    <row r="41" spans="1:2">
      <c r="A41">
        <v>36</v>
      </c>
      <c r="B41">
        <v>0</v>
      </c>
    </row>
    <row r="42" spans="1:2">
      <c r="A42">
        <v>37</v>
      </c>
      <c r="B42">
        <v>0</v>
      </c>
    </row>
    <row r="43" spans="1:2">
      <c r="A43">
        <v>38</v>
      </c>
      <c r="B43">
        <v>0</v>
      </c>
    </row>
    <row r="44" spans="1:2">
      <c r="A44">
        <v>39</v>
      </c>
      <c r="B44">
        <v>0</v>
      </c>
    </row>
    <row r="45" spans="1:2">
      <c r="A45">
        <v>40</v>
      </c>
      <c r="B45">
        <v>5390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F8FD-E3D3-2940-9CC4-D97A328A2893}">
  <dimension ref="A1:D18"/>
  <sheetViews>
    <sheetView workbookViewId="0">
      <selection activeCell="D14" sqref="D14"/>
    </sheetView>
  </sheetViews>
  <sheetFormatPr baseColWidth="10" defaultRowHeight="18"/>
  <sheetData>
    <row r="1" spans="1:4">
      <c r="A1" t="s">
        <v>2</v>
      </c>
      <c r="B1" t="s">
        <v>3</v>
      </c>
      <c r="C1" t="s">
        <v>6</v>
      </c>
    </row>
    <row r="2" spans="1:4">
      <c r="A2">
        <v>0</v>
      </c>
      <c r="B2">
        <v>-90</v>
      </c>
      <c r="C2" s="2">
        <v>-90</v>
      </c>
    </row>
    <row r="3" spans="1:4">
      <c r="A3">
        <v>1</v>
      </c>
      <c r="B3">
        <v>-100</v>
      </c>
      <c r="C3" s="2">
        <f>-PV($A$12,A3,B3)</f>
        <v>-19.516248101533336</v>
      </c>
    </row>
    <row r="4" spans="1:4">
      <c r="A4">
        <v>2</v>
      </c>
      <c r="B4">
        <v>-50</v>
      </c>
      <c r="C4" s="2">
        <f t="shared" ref="C4:C9" si="0">-PV($A$12,A4,B4)</f>
        <v>-11.662543750569686</v>
      </c>
    </row>
    <row r="5" spans="1:4">
      <c r="A5">
        <v>3</v>
      </c>
      <c r="B5">
        <v>0</v>
      </c>
      <c r="C5" s="2">
        <f t="shared" si="0"/>
        <v>0</v>
      </c>
    </row>
    <row r="6" spans="1:4">
      <c r="A6">
        <v>4</v>
      </c>
      <c r="B6">
        <v>150</v>
      </c>
      <c r="C6" s="2">
        <f t="shared" si="0"/>
        <v>36.320253935813028</v>
      </c>
    </row>
    <row r="7" spans="1:4">
      <c r="A7">
        <v>5</v>
      </c>
      <c r="B7">
        <v>150</v>
      </c>
      <c r="C7" s="2">
        <f t="shared" si="0"/>
        <v>36.362723021520203</v>
      </c>
    </row>
    <row r="8" spans="1:4">
      <c r="A8">
        <v>6</v>
      </c>
      <c r="B8">
        <v>100</v>
      </c>
      <c r="C8" s="2">
        <f t="shared" si="0"/>
        <v>24.24734092910218</v>
      </c>
    </row>
    <row r="9" spans="1:4">
      <c r="A9">
        <v>7</v>
      </c>
      <c r="B9">
        <v>100</v>
      </c>
      <c r="C9" s="2">
        <f t="shared" si="0"/>
        <v>24.248419315281556</v>
      </c>
    </row>
    <row r="11" spans="1:4">
      <c r="A11" t="s">
        <v>8</v>
      </c>
      <c r="B11" t="s">
        <v>7</v>
      </c>
      <c r="C11" t="s">
        <v>5</v>
      </c>
      <c r="D11" t="s">
        <v>4</v>
      </c>
    </row>
    <row r="12" spans="1:4">
      <c r="A12">
        <v>4.1239356806569436</v>
      </c>
      <c r="B12">
        <f>SUM(C2:C9)</f>
        <v>-5.4650386051235955E-5</v>
      </c>
      <c r="C12">
        <v>2</v>
      </c>
      <c r="D12">
        <v>103.11799999999999</v>
      </c>
    </row>
    <row r="13" spans="1:4">
      <c r="C13">
        <v>4</v>
      </c>
      <c r="D13">
        <v>2.9260000000000002</v>
      </c>
    </row>
    <row r="14" spans="1:4">
      <c r="C14">
        <v>4.1239999999999997</v>
      </c>
      <c r="D14">
        <v>0</v>
      </c>
    </row>
    <row r="15" spans="1:4">
      <c r="C15">
        <v>6</v>
      </c>
      <c r="D15">
        <v>-29.126999999999999</v>
      </c>
    </row>
    <row r="16" spans="1:4">
      <c r="C16">
        <v>8</v>
      </c>
      <c r="D16">
        <v>-44.786999999999999</v>
      </c>
    </row>
    <row r="17" spans="3:4">
      <c r="C17">
        <v>10</v>
      </c>
      <c r="D17">
        <v>-54.051000000000002</v>
      </c>
    </row>
    <row r="18" spans="3:4">
      <c r="C18">
        <v>12</v>
      </c>
      <c r="D18">
        <v>-60.167999999999999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3DA4-F290-5E4B-B0C3-736F9D981B25}">
  <dimension ref="A1:C8"/>
  <sheetViews>
    <sheetView workbookViewId="0">
      <selection activeCell="B9" sqref="B9"/>
    </sheetView>
  </sheetViews>
  <sheetFormatPr baseColWidth="10" defaultRowHeight="18"/>
  <sheetData>
    <row r="1" spans="1:3">
      <c r="A1" t="s">
        <v>10</v>
      </c>
      <c r="B1" t="s">
        <v>3</v>
      </c>
      <c r="C1" t="s">
        <v>4</v>
      </c>
    </row>
    <row r="2" spans="1:3">
      <c r="A2">
        <v>0</v>
      </c>
      <c r="B2">
        <v>-2000</v>
      </c>
      <c r="C2">
        <v>-2000</v>
      </c>
    </row>
    <row r="3" spans="1:3">
      <c r="A3">
        <v>1</v>
      </c>
      <c r="B3">
        <v>800</v>
      </c>
      <c r="C3" s="2">
        <f>-PV(10%,A3,B3)</f>
        <v>727.27272727272782</v>
      </c>
    </row>
    <row r="4" spans="1:3">
      <c r="A4">
        <v>2</v>
      </c>
      <c r="B4">
        <v>900</v>
      </c>
      <c r="C4" s="2">
        <f>-PV(10%,A4,B4)</f>
        <v>1561.9834710743812</v>
      </c>
    </row>
    <row r="5" spans="1:3">
      <c r="A5">
        <v>3</v>
      </c>
      <c r="B5" t="s">
        <v>9</v>
      </c>
      <c r="C5">
        <f>-SUM(C2:C4)</f>
        <v>-289.25619834710915</v>
      </c>
    </row>
    <row r="7" spans="1:3">
      <c r="B7" t="s">
        <v>12</v>
      </c>
      <c r="C7" t="s">
        <v>11</v>
      </c>
    </row>
    <row r="8" spans="1:3">
      <c r="B8" s="2">
        <f>-FV(0.1,3,C5)</f>
        <v>-957.43801652893251</v>
      </c>
      <c r="C8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41AE-E968-D54E-9464-8A0A3880E5FA}">
  <dimension ref="A1:D11"/>
  <sheetViews>
    <sheetView workbookViewId="0">
      <selection activeCell="D11" sqref="D11"/>
    </sheetView>
  </sheetViews>
  <sheetFormatPr baseColWidth="10" defaultRowHeight="18"/>
  <sheetData>
    <row r="1" spans="1:4">
      <c r="A1" t="s">
        <v>10</v>
      </c>
      <c r="B1" t="s">
        <v>3</v>
      </c>
      <c r="C1" t="s">
        <v>14</v>
      </c>
      <c r="D1" t="s">
        <v>15</v>
      </c>
    </row>
    <row r="2" spans="1:4">
      <c r="A2">
        <v>0</v>
      </c>
      <c r="B2">
        <v>-200</v>
      </c>
      <c r="C2">
        <v>-200</v>
      </c>
      <c r="D2">
        <v>-220</v>
      </c>
    </row>
    <row r="3" spans="1:4">
      <c r="A3">
        <v>1</v>
      </c>
      <c r="B3">
        <v>80</v>
      </c>
      <c r="C3" s="2">
        <f>B3*1.1</f>
        <v>88</v>
      </c>
      <c r="D3">
        <f>B3*0.9</f>
        <v>72</v>
      </c>
    </row>
    <row r="4" spans="1:4">
      <c r="A4">
        <v>2</v>
      </c>
      <c r="B4">
        <v>170</v>
      </c>
      <c r="C4" s="2">
        <f t="shared" ref="C4:C8" si="0">B4*1.1</f>
        <v>187.00000000000003</v>
      </c>
      <c r="D4">
        <f t="shared" ref="D4:D8" si="1">B4*0.9</f>
        <v>153</v>
      </c>
    </row>
    <row r="5" spans="1:4">
      <c r="A5">
        <v>3</v>
      </c>
      <c r="B5">
        <v>190</v>
      </c>
      <c r="C5" s="2">
        <f t="shared" si="0"/>
        <v>209.00000000000003</v>
      </c>
      <c r="D5">
        <f t="shared" si="1"/>
        <v>171</v>
      </c>
    </row>
    <row r="6" spans="1:4">
      <c r="A6">
        <v>4</v>
      </c>
      <c r="B6">
        <v>180</v>
      </c>
      <c r="C6" s="2">
        <f t="shared" si="0"/>
        <v>198.00000000000003</v>
      </c>
      <c r="D6">
        <f t="shared" si="1"/>
        <v>162</v>
      </c>
    </row>
    <row r="7" spans="1:4">
      <c r="A7">
        <v>5</v>
      </c>
      <c r="B7">
        <v>100</v>
      </c>
      <c r="C7" s="2">
        <f t="shared" si="0"/>
        <v>110.00000000000001</v>
      </c>
      <c r="D7">
        <f t="shared" si="1"/>
        <v>90</v>
      </c>
    </row>
    <row r="8" spans="1:4">
      <c r="A8">
        <v>6</v>
      </c>
      <c r="B8">
        <v>30</v>
      </c>
      <c r="C8" s="2">
        <f t="shared" si="0"/>
        <v>33</v>
      </c>
      <c r="D8">
        <f t="shared" si="1"/>
        <v>27</v>
      </c>
    </row>
    <row r="10" spans="1:4">
      <c r="B10" t="s">
        <v>13</v>
      </c>
      <c r="C10" t="s">
        <v>13</v>
      </c>
      <c r="D10" t="s">
        <v>13</v>
      </c>
    </row>
    <row r="11" spans="1:4">
      <c r="A11" s="1"/>
      <c r="B11" s="1">
        <f>IRR(B2:B8)</f>
        <v>0.60520226357918516</v>
      </c>
      <c r="C11" s="1">
        <f>IRR(C2:C8)</f>
        <v>0.6702349330998425</v>
      </c>
      <c r="D11" s="1">
        <f>IRR(D2:D8)</f>
        <v>0.48067768047741488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4BBD-B213-724C-B0AA-89DAEA8FB53F}">
  <dimension ref="A1:D8"/>
  <sheetViews>
    <sheetView workbookViewId="0">
      <selection activeCell="D8" sqref="D8"/>
    </sheetView>
  </sheetViews>
  <sheetFormatPr baseColWidth="10" defaultRowHeight="18"/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>
      <c r="A2">
        <v>0</v>
      </c>
      <c r="B2">
        <v>-10000</v>
      </c>
      <c r="C2">
        <v>-12000</v>
      </c>
      <c r="D2">
        <f>C2-B2</f>
        <v>-2000</v>
      </c>
    </row>
    <row r="3" spans="1:4">
      <c r="A3">
        <v>1</v>
      </c>
      <c r="B3">
        <v>5000</v>
      </c>
      <c r="C3">
        <v>6100</v>
      </c>
      <c r="D3">
        <f t="shared" ref="D3:D5" si="0">C3-B3</f>
        <v>1100</v>
      </c>
    </row>
    <row r="4" spans="1:4">
      <c r="A4">
        <v>2</v>
      </c>
      <c r="B4">
        <v>5000</v>
      </c>
      <c r="C4">
        <v>6100</v>
      </c>
      <c r="D4">
        <f t="shared" si="0"/>
        <v>1100</v>
      </c>
    </row>
    <row r="5" spans="1:4">
      <c r="A5">
        <v>3</v>
      </c>
      <c r="B5">
        <v>5000</v>
      </c>
      <c r="C5">
        <v>6100</v>
      </c>
      <c r="D5">
        <f t="shared" si="0"/>
        <v>1100</v>
      </c>
    </row>
    <row r="7" spans="1:4">
      <c r="B7" t="s">
        <v>13</v>
      </c>
      <c r="C7" t="s">
        <v>13</v>
      </c>
      <c r="D7" t="s">
        <v>13</v>
      </c>
    </row>
    <row r="8" spans="1:4">
      <c r="B8" s="1">
        <f>IRR(B2:B5)</f>
        <v>0.23375192852825655</v>
      </c>
      <c r="C8" s="1">
        <f>IRR(C2:C5)</f>
        <v>0.24477622388802978</v>
      </c>
      <c r="D8" s="1">
        <f>IRR(D2:D5)</f>
        <v>0.29919022777709903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1362-1C92-ED45-B1CE-0C6B385A8769}">
  <dimension ref="A1:D26"/>
  <sheetViews>
    <sheetView workbookViewId="0">
      <selection activeCell="C28" sqref="C28"/>
    </sheetView>
  </sheetViews>
  <sheetFormatPr baseColWidth="10" defaultRowHeight="18"/>
  <sheetData>
    <row r="1" spans="1:4" ht="19" thickBot="1">
      <c r="B1" s="3"/>
      <c r="C1" s="4" t="s">
        <v>3</v>
      </c>
      <c r="D1" s="5"/>
    </row>
    <row r="2" spans="1:4">
      <c r="A2" t="s">
        <v>2</v>
      </c>
      <c r="B2" t="s">
        <v>20</v>
      </c>
      <c r="C2" t="s">
        <v>21</v>
      </c>
      <c r="D2" t="s">
        <v>22</v>
      </c>
    </row>
    <row r="3" spans="1:4">
      <c r="A3">
        <v>0</v>
      </c>
      <c r="B3">
        <v>0</v>
      </c>
      <c r="C3">
        <v>25</v>
      </c>
      <c r="D3">
        <v>50</v>
      </c>
    </row>
    <row r="4" spans="1:4">
      <c r="A4">
        <v>1</v>
      </c>
      <c r="B4">
        <v>50</v>
      </c>
      <c r="C4">
        <v>29</v>
      </c>
      <c r="D4">
        <v>14</v>
      </c>
    </row>
    <row r="5" spans="1:4">
      <c r="A5">
        <v>2</v>
      </c>
      <c r="B5">
        <v>50</v>
      </c>
      <c r="C5">
        <v>29</v>
      </c>
      <c r="D5">
        <v>14</v>
      </c>
    </row>
    <row r="6" spans="1:4">
      <c r="A6">
        <v>3</v>
      </c>
      <c r="B6">
        <v>50</v>
      </c>
      <c r="C6">
        <v>29</v>
      </c>
      <c r="D6">
        <v>14</v>
      </c>
    </row>
    <row r="7" spans="1:4">
      <c r="A7">
        <v>4</v>
      </c>
      <c r="B7">
        <v>50</v>
      </c>
      <c r="C7">
        <v>29</v>
      </c>
      <c r="D7">
        <v>14</v>
      </c>
    </row>
    <row r="8" spans="1:4">
      <c r="A8">
        <v>5</v>
      </c>
      <c r="B8">
        <v>50</v>
      </c>
      <c r="C8">
        <v>29</v>
      </c>
      <c r="D8">
        <v>14</v>
      </c>
    </row>
    <row r="9" spans="1:4">
      <c r="A9">
        <v>6</v>
      </c>
      <c r="B9">
        <v>50</v>
      </c>
      <c r="C9">
        <v>29</v>
      </c>
      <c r="D9">
        <v>14</v>
      </c>
    </row>
    <row r="10" spans="1:4">
      <c r="A10">
        <v>7</v>
      </c>
      <c r="B10">
        <v>50</v>
      </c>
      <c r="C10">
        <v>29</v>
      </c>
      <c r="D10">
        <v>14</v>
      </c>
    </row>
    <row r="11" spans="1:4">
      <c r="A11">
        <v>8</v>
      </c>
      <c r="B11">
        <v>50</v>
      </c>
      <c r="C11">
        <v>29</v>
      </c>
      <c r="D11">
        <v>14</v>
      </c>
    </row>
    <row r="12" spans="1:4" ht="19" thickBot="1"/>
    <row r="13" spans="1:4" ht="19" thickBot="1">
      <c r="B13" s="3"/>
      <c r="C13" s="4" t="s">
        <v>23</v>
      </c>
      <c r="D13" s="5"/>
    </row>
    <row r="14" spans="1:4">
      <c r="B14" s="1" t="s">
        <v>24</v>
      </c>
      <c r="C14" t="s">
        <v>25</v>
      </c>
      <c r="D14" t="s">
        <v>26</v>
      </c>
    </row>
    <row r="15" spans="1:4">
      <c r="A15">
        <v>0</v>
      </c>
      <c r="B15">
        <f>C3-B3</f>
        <v>25</v>
      </c>
      <c r="C15">
        <f>D3-C3</f>
        <v>25</v>
      </c>
      <c r="D15">
        <f>D3-B3</f>
        <v>50</v>
      </c>
    </row>
    <row r="16" spans="1:4">
      <c r="A16">
        <v>1</v>
      </c>
      <c r="B16">
        <f t="shared" ref="B16:C16" si="0">C4-B4</f>
        <v>-21</v>
      </c>
      <c r="C16">
        <f t="shared" si="0"/>
        <v>-15</v>
      </c>
      <c r="D16">
        <f t="shared" ref="D16:D22" si="1">D4-B4</f>
        <v>-36</v>
      </c>
    </row>
    <row r="17" spans="1:4">
      <c r="A17">
        <v>2</v>
      </c>
      <c r="B17">
        <f t="shared" ref="B17:C17" si="2">C5-B5</f>
        <v>-21</v>
      </c>
      <c r="C17">
        <f t="shared" si="2"/>
        <v>-15</v>
      </c>
      <c r="D17">
        <f t="shared" si="1"/>
        <v>-36</v>
      </c>
    </row>
    <row r="18" spans="1:4">
      <c r="A18">
        <v>3</v>
      </c>
      <c r="B18">
        <f t="shared" ref="B18:C18" si="3">C6-B6</f>
        <v>-21</v>
      </c>
      <c r="C18">
        <f t="shared" si="3"/>
        <v>-15</v>
      </c>
      <c r="D18">
        <f t="shared" si="1"/>
        <v>-36</v>
      </c>
    </row>
    <row r="19" spans="1:4">
      <c r="A19">
        <v>4</v>
      </c>
      <c r="B19">
        <f t="shared" ref="B19:C19" si="4">C7-B7</f>
        <v>-21</v>
      </c>
      <c r="C19">
        <f t="shared" si="4"/>
        <v>-15</v>
      </c>
      <c r="D19">
        <f t="shared" si="1"/>
        <v>-36</v>
      </c>
    </row>
    <row r="20" spans="1:4">
      <c r="A20">
        <v>5</v>
      </c>
      <c r="B20">
        <f t="shared" ref="B20:C20" si="5">C8-B8</f>
        <v>-21</v>
      </c>
      <c r="C20">
        <f t="shared" si="5"/>
        <v>-15</v>
      </c>
      <c r="D20">
        <f t="shared" si="1"/>
        <v>-36</v>
      </c>
    </row>
    <row r="21" spans="1:4">
      <c r="A21">
        <v>6</v>
      </c>
      <c r="B21">
        <f t="shared" ref="B21:C21" si="6">C9-B9</f>
        <v>-21</v>
      </c>
      <c r="C21">
        <f t="shared" si="6"/>
        <v>-15</v>
      </c>
      <c r="D21">
        <f t="shared" si="1"/>
        <v>-36</v>
      </c>
    </row>
    <row r="22" spans="1:4">
      <c r="A22">
        <v>7</v>
      </c>
      <c r="B22">
        <f t="shared" ref="B22:C23" si="7">C10-B10</f>
        <v>-21</v>
      </c>
      <c r="C22">
        <f t="shared" si="7"/>
        <v>-15</v>
      </c>
      <c r="D22">
        <f t="shared" si="1"/>
        <v>-36</v>
      </c>
    </row>
    <row r="23" spans="1:4">
      <c r="A23">
        <v>8</v>
      </c>
      <c r="B23">
        <f t="shared" si="7"/>
        <v>-21</v>
      </c>
      <c r="C23">
        <f t="shared" si="7"/>
        <v>-15</v>
      </c>
      <c r="D23">
        <f t="shared" ref="D23" si="8">D11-B11</f>
        <v>-36</v>
      </c>
    </row>
    <row r="24" spans="1:4" ht="19" thickBot="1"/>
    <row r="25" spans="1:4" ht="19" thickBot="1">
      <c r="B25" s="3"/>
      <c r="C25" s="4" t="s">
        <v>13</v>
      </c>
      <c r="D25" s="5"/>
    </row>
    <row r="26" spans="1:4">
      <c r="B26" s="1">
        <f>IRR(B15:B23)</f>
        <v>0.83342066017473959</v>
      </c>
      <c r="C26" s="1">
        <f t="shared" ref="C26:D26" si="9">IRR(C15:C23)</f>
        <v>0.5849316031830909</v>
      </c>
      <c r="D26" s="1">
        <f t="shared" si="9"/>
        <v>0.71015896811444867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6684-9483-4544-8224-3935608BD2A8}">
  <dimension ref="A2:G93"/>
  <sheetViews>
    <sheetView tabSelected="1" topLeftCell="A62" workbookViewId="0">
      <selection activeCell="B93" sqref="B93"/>
    </sheetView>
  </sheetViews>
  <sheetFormatPr baseColWidth="10" defaultRowHeight="18"/>
  <sheetData>
    <row r="2" spans="1:7">
      <c r="A2" t="s">
        <v>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>
      <c r="A3">
        <v>0</v>
      </c>
      <c r="B3">
        <v>-60000</v>
      </c>
      <c r="C3">
        <v>-100000</v>
      </c>
      <c r="D3">
        <v>-110000</v>
      </c>
      <c r="E3">
        <v>-120000</v>
      </c>
      <c r="F3">
        <v>-140000</v>
      </c>
      <c r="G3">
        <v>-150000</v>
      </c>
    </row>
    <row r="4" spans="1:7">
      <c r="A4">
        <v>1</v>
      </c>
      <c r="B4">
        <v>22000</v>
      </c>
      <c r="C4">
        <v>28200</v>
      </c>
      <c r="D4">
        <v>32600</v>
      </c>
      <c r="E4">
        <v>33600</v>
      </c>
      <c r="F4">
        <v>38400</v>
      </c>
      <c r="G4">
        <v>42200</v>
      </c>
    </row>
    <row r="5" spans="1:7">
      <c r="A5">
        <v>2</v>
      </c>
      <c r="B5">
        <v>22000</v>
      </c>
      <c r="C5">
        <v>28200</v>
      </c>
      <c r="D5">
        <v>32600</v>
      </c>
      <c r="E5">
        <v>33600</v>
      </c>
      <c r="F5">
        <v>38400</v>
      </c>
      <c r="G5">
        <v>42200</v>
      </c>
    </row>
    <row r="6" spans="1:7">
      <c r="A6">
        <v>3</v>
      </c>
      <c r="B6">
        <v>22000</v>
      </c>
      <c r="C6">
        <v>28200</v>
      </c>
      <c r="D6">
        <v>32600</v>
      </c>
      <c r="E6">
        <v>33600</v>
      </c>
      <c r="F6">
        <v>38400</v>
      </c>
      <c r="G6">
        <v>42200</v>
      </c>
    </row>
    <row r="7" spans="1:7">
      <c r="A7">
        <v>4</v>
      </c>
      <c r="B7">
        <v>22000</v>
      </c>
      <c r="C7">
        <v>28200</v>
      </c>
      <c r="D7">
        <v>32600</v>
      </c>
      <c r="E7">
        <v>33600</v>
      </c>
      <c r="F7">
        <v>38400</v>
      </c>
      <c r="G7">
        <v>42200</v>
      </c>
    </row>
    <row r="8" spans="1:7">
      <c r="A8">
        <v>5</v>
      </c>
      <c r="B8">
        <v>22000</v>
      </c>
      <c r="C8">
        <v>28200</v>
      </c>
      <c r="D8">
        <v>32600</v>
      </c>
      <c r="E8">
        <v>33600</v>
      </c>
      <c r="F8">
        <v>38400</v>
      </c>
      <c r="G8">
        <v>42200</v>
      </c>
    </row>
    <row r="9" spans="1:7">
      <c r="A9">
        <v>6</v>
      </c>
      <c r="B9">
        <v>22000</v>
      </c>
      <c r="C9">
        <v>28200</v>
      </c>
      <c r="D9">
        <v>32600</v>
      </c>
      <c r="E9">
        <v>33600</v>
      </c>
      <c r="F9">
        <v>38400</v>
      </c>
      <c r="G9">
        <v>42200</v>
      </c>
    </row>
    <row r="10" spans="1:7">
      <c r="A10">
        <v>7</v>
      </c>
      <c r="B10">
        <v>22000</v>
      </c>
      <c r="C10">
        <v>28200</v>
      </c>
      <c r="D10">
        <v>32600</v>
      </c>
      <c r="E10">
        <v>33600</v>
      </c>
      <c r="F10">
        <v>38400</v>
      </c>
      <c r="G10">
        <v>42200</v>
      </c>
    </row>
    <row r="11" spans="1:7">
      <c r="A11">
        <v>8</v>
      </c>
      <c r="B11">
        <v>22000</v>
      </c>
      <c r="C11">
        <v>28200</v>
      </c>
      <c r="D11">
        <v>32600</v>
      </c>
      <c r="E11">
        <v>33600</v>
      </c>
      <c r="F11">
        <v>38400</v>
      </c>
      <c r="G11">
        <v>42200</v>
      </c>
    </row>
    <row r="12" spans="1:7">
      <c r="A12">
        <v>9</v>
      </c>
      <c r="B12">
        <v>22000</v>
      </c>
      <c r="C12">
        <v>28200</v>
      </c>
      <c r="D12">
        <v>32600</v>
      </c>
      <c r="E12">
        <v>33600</v>
      </c>
      <c r="F12">
        <v>38400</v>
      </c>
      <c r="G12">
        <v>42200</v>
      </c>
    </row>
    <row r="13" spans="1:7">
      <c r="A13">
        <v>10</v>
      </c>
      <c r="B13">
        <v>22000</v>
      </c>
      <c r="C13">
        <v>28200</v>
      </c>
      <c r="D13">
        <v>32600</v>
      </c>
      <c r="E13">
        <v>33600</v>
      </c>
      <c r="F13">
        <v>38400</v>
      </c>
      <c r="G13">
        <v>42200</v>
      </c>
    </row>
    <row r="15" spans="1:7">
      <c r="B15" t="s">
        <v>33</v>
      </c>
      <c r="C15" t="s">
        <v>34</v>
      </c>
      <c r="D15" t="s">
        <v>35</v>
      </c>
      <c r="E15" t="s">
        <v>36</v>
      </c>
      <c r="F15" t="s">
        <v>37</v>
      </c>
    </row>
    <row r="16" spans="1:7">
      <c r="A16">
        <v>0</v>
      </c>
      <c r="B16">
        <f>C3-B3</f>
        <v>-40000</v>
      </c>
      <c r="C16">
        <f>D3-B3</f>
        <v>-50000</v>
      </c>
      <c r="D16">
        <f>E3-B3</f>
        <v>-60000</v>
      </c>
      <c r="E16">
        <f>F3-B3</f>
        <v>-80000</v>
      </c>
      <c r="F16">
        <f>G3-B3</f>
        <v>-90000</v>
      </c>
    </row>
    <row r="17" spans="1:6">
      <c r="A17">
        <v>1</v>
      </c>
      <c r="B17">
        <f t="shared" ref="B17:B26" si="0">C4-B4</f>
        <v>6200</v>
      </c>
      <c r="C17">
        <f t="shared" ref="C17:C26" si="1">D4-B4</f>
        <v>10600</v>
      </c>
      <c r="D17">
        <f t="shared" ref="D17:D26" si="2">E4-B4</f>
        <v>11600</v>
      </c>
      <c r="E17">
        <f t="shared" ref="E17:E26" si="3">F4-B4</f>
        <v>16400</v>
      </c>
      <c r="F17">
        <f t="shared" ref="F17:F26" si="4">G4-B4</f>
        <v>20200</v>
      </c>
    </row>
    <row r="18" spans="1:6">
      <c r="A18">
        <v>2</v>
      </c>
      <c r="B18">
        <f t="shared" si="0"/>
        <v>6200</v>
      </c>
      <c r="C18">
        <f t="shared" si="1"/>
        <v>10600</v>
      </c>
      <c r="D18">
        <f t="shared" si="2"/>
        <v>11600</v>
      </c>
      <c r="E18">
        <f t="shared" si="3"/>
        <v>16400</v>
      </c>
      <c r="F18">
        <f t="shared" si="4"/>
        <v>20200</v>
      </c>
    </row>
    <row r="19" spans="1:6">
      <c r="A19">
        <v>3</v>
      </c>
      <c r="B19">
        <f t="shared" si="0"/>
        <v>6200</v>
      </c>
      <c r="C19">
        <f t="shared" si="1"/>
        <v>10600</v>
      </c>
      <c r="D19">
        <f t="shared" si="2"/>
        <v>11600</v>
      </c>
      <c r="E19">
        <f t="shared" si="3"/>
        <v>16400</v>
      </c>
      <c r="F19">
        <f t="shared" si="4"/>
        <v>20200</v>
      </c>
    </row>
    <row r="20" spans="1:6">
      <c r="A20">
        <v>4</v>
      </c>
      <c r="B20">
        <f t="shared" si="0"/>
        <v>6200</v>
      </c>
      <c r="C20">
        <f t="shared" si="1"/>
        <v>10600</v>
      </c>
      <c r="D20">
        <f t="shared" si="2"/>
        <v>11600</v>
      </c>
      <c r="E20">
        <f t="shared" si="3"/>
        <v>16400</v>
      </c>
      <c r="F20">
        <f t="shared" si="4"/>
        <v>20200</v>
      </c>
    </row>
    <row r="21" spans="1:6">
      <c r="A21">
        <v>5</v>
      </c>
      <c r="B21">
        <f t="shared" si="0"/>
        <v>6200</v>
      </c>
      <c r="C21">
        <f t="shared" si="1"/>
        <v>10600</v>
      </c>
      <c r="D21">
        <f t="shared" si="2"/>
        <v>11600</v>
      </c>
      <c r="E21">
        <f t="shared" si="3"/>
        <v>16400</v>
      </c>
      <c r="F21">
        <f t="shared" si="4"/>
        <v>20200</v>
      </c>
    </row>
    <row r="22" spans="1:6">
      <c r="A22">
        <v>6</v>
      </c>
      <c r="B22">
        <f t="shared" si="0"/>
        <v>6200</v>
      </c>
      <c r="C22">
        <f t="shared" si="1"/>
        <v>10600</v>
      </c>
      <c r="D22">
        <f t="shared" si="2"/>
        <v>11600</v>
      </c>
      <c r="E22">
        <f t="shared" si="3"/>
        <v>16400</v>
      </c>
      <c r="F22">
        <f t="shared" si="4"/>
        <v>20200</v>
      </c>
    </row>
    <row r="23" spans="1:6">
      <c r="A23">
        <v>7</v>
      </c>
      <c r="B23">
        <f t="shared" si="0"/>
        <v>6200</v>
      </c>
      <c r="C23">
        <f t="shared" si="1"/>
        <v>10600</v>
      </c>
      <c r="D23">
        <f t="shared" si="2"/>
        <v>11600</v>
      </c>
      <c r="E23">
        <f t="shared" si="3"/>
        <v>16400</v>
      </c>
      <c r="F23">
        <f t="shared" si="4"/>
        <v>20200</v>
      </c>
    </row>
    <row r="24" spans="1:6">
      <c r="A24">
        <v>8</v>
      </c>
      <c r="B24">
        <f t="shared" si="0"/>
        <v>6200</v>
      </c>
      <c r="C24">
        <f t="shared" si="1"/>
        <v>10600</v>
      </c>
      <c r="D24">
        <f t="shared" si="2"/>
        <v>11600</v>
      </c>
      <c r="E24">
        <f t="shared" si="3"/>
        <v>16400</v>
      </c>
      <c r="F24">
        <f t="shared" si="4"/>
        <v>20200</v>
      </c>
    </row>
    <row r="25" spans="1:6">
      <c r="A25">
        <v>9</v>
      </c>
      <c r="B25">
        <f t="shared" si="0"/>
        <v>6200</v>
      </c>
      <c r="C25">
        <f t="shared" si="1"/>
        <v>10600</v>
      </c>
      <c r="D25">
        <f t="shared" si="2"/>
        <v>11600</v>
      </c>
      <c r="E25">
        <f t="shared" si="3"/>
        <v>16400</v>
      </c>
      <c r="F25">
        <f t="shared" si="4"/>
        <v>20200</v>
      </c>
    </row>
    <row r="26" spans="1:6">
      <c r="A26">
        <v>10</v>
      </c>
      <c r="B26">
        <f t="shared" si="0"/>
        <v>6200</v>
      </c>
      <c r="C26">
        <f t="shared" si="1"/>
        <v>10600</v>
      </c>
      <c r="D26">
        <f t="shared" si="2"/>
        <v>11600</v>
      </c>
      <c r="E26">
        <f t="shared" si="3"/>
        <v>16400</v>
      </c>
      <c r="F26">
        <f t="shared" si="4"/>
        <v>20200</v>
      </c>
    </row>
    <row r="28" spans="1:6">
      <c r="B28" t="s">
        <v>13</v>
      </c>
      <c r="C28" t="s">
        <v>13</v>
      </c>
      <c r="D28" t="s">
        <v>13</v>
      </c>
      <c r="E28" t="s">
        <v>13</v>
      </c>
      <c r="F28" t="s">
        <v>13</v>
      </c>
    </row>
    <row r="29" spans="1:6">
      <c r="B29" s="1">
        <f>IRR(B16:B26)</f>
        <v>8.8802882566568986E-2</v>
      </c>
      <c r="C29" s="1">
        <f t="shared" ref="C29:F29" si="5">IRR(C16:C26)</f>
        <v>0.16658968060254353</v>
      </c>
      <c r="D29" s="1">
        <f t="shared" si="5"/>
        <v>0.14216137332282663</v>
      </c>
      <c r="E29" s="1">
        <f t="shared" si="5"/>
        <v>0.15752776274665869</v>
      </c>
      <c r="F29" s="1">
        <f t="shared" si="5"/>
        <v>0.18243662655187665</v>
      </c>
    </row>
    <row r="31" spans="1:6">
      <c r="B31" t="s">
        <v>38</v>
      </c>
      <c r="C31" t="s">
        <v>39</v>
      </c>
      <c r="D31" t="s">
        <v>40</v>
      </c>
      <c r="E31" t="s">
        <v>41</v>
      </c>
    </row>
    <row r="32" spans="1:6">
      <c r="A32" s="6">
        <v>0</v>
      </c>
      <c r="B32">
        <f>D3-C3</f>
        <v>-10000</v>
      </c>
      <c r="C32">
        <f>E3-C3</f>
        <v>-20000</v>
      </c>
      <c r="D32">
        <f>F3-C3</f>
        <v>-40000</v>
      </c>
      <c r="E32">
        <f>G3-C3</f>
        <v>-50000</v>
      </c>
    </row>
    <row r="33" spans="1:5">
      <c r="A33" s="6">
        <v>1</v>
      </c>
      <c r="B33">
        <f t="shared" ref="B33:B42" si="6">D4-C4</f>
        <v>4400</v>
      </c>
      <c r="C33">
        <f t="shared" ref="C33:C42" si="7">E4-C4</f>
        <v>5400</v>
      </c>
      <c r="D33">
        <f t="shared" ref="D33:D42" si="8">F4-C4</f>
        <v>10200</v>
      </c>
      <c r="E33">
        <f t="shared" ref="E33:E42" si="9">G4-C4</f>
        <v>14000</v>
      </c>
    </row>
    <row r="34" spans="1:5">
      <c r="A34" s="6">
        <v>2</v>
      </c>
      <c r="B34">
        <f t="shared" si="6"/>
        <v>4400</v>
      </c>
      <c r="C34">
        <f t="shared" si="7"/>
        <v>5400</v>
      </c>
      <c r="D34">
        <f t="shared" si="8"/>
        <v>10200</v>
      </c>
      <c r="E34">
        <f t="shared" si="9"/>
        <v>14000</v>
      </c>
    </row>
    <row r="35" spans="1:5">
      <c r="A35" s="6">
        <v>3</v>
      </c>
      <c r="B35">
        <f t="shared" si="6"/>
        <v>4400</v>
      </c>
      <c r="C35">
        <f t="shared" si="7"/>
        <v>5400</v>
      </c>
      <c r="D35">
        <f t="shared" si="8"/>
        <v>10200</v>
      </c>
      <c r="E35">
        <f t="shared" si="9"/>
        <v>14000</v>
      </c>
    </row>
    <row r="36" spans="1:5">
      <c r="A36" s="6">
        <v>4</v>
      </c>
      <c r="B36">
        <f t="shared" si="6"/>
        <v>4400</v>
      </c>
      <c r="C36">
        <f t="shared" si="7"/>
        <v>5400</v>
      </c>
      <c r="D36">
        <f t="shared" si="8"/>
        <v>10200</v>
      </c>
      <c r="E36">
        <f t="shared" si="9"/>
        <v>14000</v>
      </c>
    </row>
    <row r="37" spans="1:5">
      <c r="A37" s="6">
        <v>5</v>
      </c>
      <c r="B37">
        <f t="shared" si="6"/>
        <v>4400</v>
      </c>
      <c r="C37">
        <f t="shared" si="7"/>
        <v>5400</v>
      </c>
      <c r="D37">
        <f t="shared" si="8"/>
        <v>10200</v>
      </c>
      <c r="E37">
        <f t="shared" si="9"/>
        <v>14000</v>
      </c>
    </row>
    <row r="38" spans="1:5">
      <c r="A38" s="6">
        <v>6</v>
      </c>
      <c r="B38">
        <f t="shared" si="6"/>
        <v>4400</v>
      </c>
      <c r="C38">
        <f t="shared" si="7"/>
        <v>5400</v>
      </c>
      <c r="D38">
        <f t="shared" si="8"/>
        <v>10200</v>
      </c>
      <c r="E38">
        <f t="shared" si="9"/>
        <v>14000</v>
      </c>
    </row>
    <row r="39" spans="1:5">
      <c r="A39" s="6">
        <v>7</v>
      </c>
      <c r="B39">
        <f t="shared" si="6"/>
        <v>4400</v>
      </c>
      <c r="C39">
        <f t="shared" si="7"/>
        <v>5400</v>
      </c>
      <c r="D39">
        <f t="shared" si="8"/>
        <v>10200</v>
      </c>
      <c r="E39">
        <f t="shared" si="9"/>
        <v>14000</v>
      </c>
    </row>
    <row r="40" spans="1:5">
      <c r="A40" s="6">
        <v>8</v>
      </c>
      <c r="B40">
        <f t="shared" si="6"/>
        <v>4400</v>
      </c>
      <c r="C40">
        <f t="shared" si="7"/>
        <v>5400</v>
      </c>
      <c r="D40">
        <f t="shared" si="8"/>
        <v>10200</v>
      </c>
      <c r="E40">
        <f t="shared" si="9"/>
        <v>14000</v>
      </c>
    </row>
    <row r="41" spans="1:5">
      <c r="A41" s="6">
        <v>9</v>
      </c>
      <c r="B41">
        <f t="shared" si="6"/>
        <v>4400</v>
      </c>
      <c r="C41">
        <f t="shared" si="7"/>
        <v>5400</v>
      </c>
      <c r="D41">
        <f t="shared" si="8"/>
        <v>10200</v>
      </c>
      <c r="E41">
        <f t="shared" si="9"/>
        <v>14000</v>
      </c>
    </row>
    <row r="42" spans="1:5">
      <c r="A42" s="6">
        <v>10</v>
      </c>
      <c r="B42">
        <f t="shared" si="6"/>
        <v>4400</v>
      </c>
      <c r="C42">
        <f t="shared" si="7"/>
        <v>5400</v>
      </c>
      <c r="D42">
        <f t="shared" si="8"/>
        <v>10200</v>
      </c>
      <c r="E42">
        <f t="shared" si="9"/>
        <v>14000</v>
      </c>
    </row>
    <row r="44" spans="1:5">
      <c r="B44" t="s">
        <v>13</v>
      </c>
      <c r="C44" t="s">
        <v>13</v>
      </c>
      <c r="D44" t="s">
        <v>13</v>
      </c>
      <c r="E44" t="s">
        <v>13</v>
      </c>
    </row>
    <row r="45" spans="1:5">
      <c r="B45" s="1">
        <f>IRR(B32:B42)</f>
        <v>0.42747532143994404</v>
      </c>
      <c r="C45" s="1">
        <f t="shared" ref="C45:E45" si="10">IRR(C32:C42)</f>
        <v>0.2380984321310704</v>
      </c>
      <c r="D45" s="1">
        <f t="shared" si="10"/>
        <v>0.22012694445919445</v>
      </c>
      <c r="E45" s="1">
        <f t="shared" si="10"/>
        <v>0.24991470661921511</v>
      </c>
    </row>
    <row r="47" spans="1:5">
      <c r="B47" t="s">
        <v>42</v>
      </c>
      <c r="C47" t="s">
        <v>43</v>
      </c>
      <c r="D47" t="s">
        <v>44</v>
      </c>
    </row>
    <row r="48" spans="1:5">
      <c r="A48" s="6">
        <v>0</v>
      </c>
      <c r="B48">
        <f>E3-D3</f>
        <v>-10000</v>
      </c>
      <c r="C48">
        <f>F3-D3</f>
        <v>-30000</v>
      </c>
      <c r="D48">
        <f>G3-D3</f>
        <v>-40000</v>
      </c>
    </row>
    <row r="49" spans="1:4">
      <c r="A49" s="6">
        <v>1</v>
      </c>
      <c r="B49">
        <f t="shared" ref="B49:B58" si="11">E4-D4</f>
        <v>1000</v>
      </c>
      <c r="C49">
        <f t="shared" ref="C49:C58" si="12">F4-D4</f>
        <v>5800</v>
      </c>
      <c r="D49">
        <f t="shared" ref="D49:D58" si="13">G4-D4</f>
        <v>9600</v>
      </c>
    </row>
    <row r="50" spans="1:4">
      <c r="A50" s="6">
        <v>2</v>
      </c>
      <c r="B50">
        <f t="shared" si="11"/>
        <v>1000</v>
      </c>
      <c r="C50">
        <f t="shared" si="12"/>
        <v>5800</v>
      </c>
      <c r="D50">
        <f t="shared" si="13"/>
        <v>9600</v>
      </c>
    </row>
    <row r="51" spans="1:4">
      <c r="A51" s="6">
        <v>3</v>
      </c>
      <c r="B51">
        <f t="shared" si="11"/>
        <v>1000</v>
      </c>
      <c r="C51">
        <f t="shared" si="12"/>
        <v>5800</v>
      </c>
      <c r="D51">
        <f t="shared" si="13"/>
        <v>9600</v>
      </c>
    </row>
    <row r="52" spans="1:4">
      <c r="A52" s="6">
        <v>4</v>
      </c>
      <c r="B52">
        <f t="shared" si="11"/>
        <v>1000</v>
      </c>
      <c r="C52">
        <f t="shared" si="12"/>
        <v>5800</v>
      </c>
      <c r="D52">
        <f t="shared" si="13"/>
        <v>9600</v>
      </c>
    </row>
    <row r="53" spans="1:4">
      <c r="A53" s="6">
        <v>5</v>
      </c>
      <c r="B53">
        <f t="shared" si="11"/>
        <v>1000</v>
      </c>
      <c r="C53">
        <f t="shared" si="12"/>
        <v>5800</v>
      </c>
      <c r="D53">
        <f t="shared" si="13"/>
        <v>9600</v>
      </c>
    </row>
    <row r="54" spans="1:4">
      <c r="A54" s="6">
        <v>6</v>
      </c>
      <c r="B54">
        <f t="shared" si="11"/>
        <v>1000</v>
      </c>
      <c r="C54">
        <f t="shared" si="12"/>
        <v>5800</v>
      </c>
      <c r="D54">
        <f t="shared" si="13"/>
        <v>9600</v>
      </c>
    </row>
    <row r="55" spans="1:4">
      <c r="A55" s="6">
        <v>7</v>
      </c>
      <c r="B55">
        <f t="shared" si="11"/>
        <v>1000</v>
      </c>
      <c r="C55">
        <f t="shared" si="12"/>
        <v>5800</v>
      </c>
      <c r="D55">
        <f t="shared" si="13"/>
        <v>9600</v>
      </c>
    </row>
    <row r="56" spans="1:4">
      <c r="A56" s="6">
        <v>8</v>
      </c>
      <c r="B56">
        <f t="shared" si="11"/>
        <v>1000</v>
      </c>
      <c r="C56">
        <f t="shared" si="12"/>
        <v>5800</v>
      </c>
      <c r="D56">
        <f t="shared" si="13"/>
        <v>9600</v>
      </c>
    </row>
    <row r="57" spans="1:4">
      <c r="A57" s="6">
        <v>9</v>
      </c>
      <c r="B57">
        <f t="shared" si="11"/>
        <v>1000</v>
      </c>
      <c r="C57">
        <f t="shared" si="12"/>
        <v>5800</v>
      </c>
      <c r="D57">
        <f t="shared" si="13"/>
        <v>9600</v>
      </c>
    </row>
    <row r="58" spans="1:4">
      <c r="A58" s="6">
        <v>10</v>
      </c>
      <c r="B58">
        <f t="shared" si="11"/>
        <v>1000</v>
      </c>
      <c r="C58">
        <f t="shared" si="12"/>
        <v>5800</v>
      </c>
      <c r="D58">
        <f t="shared" si="13"/>
        <v>9600</v>
      </c>
    </row>
    <row r="60" spans="1:4">
      <c r="B60" t="s">
        <v>13</v>
      </c>
      <c r="C60" t="s">
        <v>13</v>
      </c>
      <c r="D60" t="s">
        <v>13</v>
      </c>
    </row>
    <row r="61" spans="1:4">
      <c r="B61" s="1">
        <f>IRR(B48:B58)</f>
        <v>0</v>
      </c>
      <c r="C61" s="1">
        <f t="shared" ref="C61:D61" si="14">IRR(C48:C58)</f>
        <v>0.14216137332282663</v>
      </c>
      <c r="D61" s="1">
        <f t="shared" si="14"/>
        <v>0.2018224418162935</v>
      </c>
    </row>
    <row r="63" spans="1:4">
      <c r="B63" t="s">
        <v>45</v>
      </c>
      <c r="C63" t="s">
        <v>46</v>
      </c>
    </row>
    <row r="64" spans="1:4">
      <c r="A64" s="6">
        <v>0</v>
      </c>
      <c r="B64">
        <f>F3-E3</f>
        <v>-20000</v>
      </c>
      <c r="C64">
        <f>G3-E3</f>
        <v>-30000</v>
      </c>
    </row>
    <row r="65" spans="1:3">
      <c r="A65" s="6">
        <v>1</v>
      </c>
      <c r="B65">
        <f t="shared" ref="B65:B74" si="15">F4-E4</f>
        <v>4800</v>
      </c>
      <c r="C65">
        <f t="shared" ref="C65:C74" si="16">G4-E4</f>
        <v>8600</v>
      </c>
    </row>
    <row r="66" spans="1:3">
      <c r="A66" s="6">
        <v>2</v>
      </c>
      <c r="B66">
        <f t="shared" si="15"/>
        <v>4800</v>
      </c>
      <c r="C66">
        <f t="shared" si="16"/>
        <v>8600</v>
      </c>
    </row>
    <row r="67" spans="1:3">
      <c r="A67" s="6">
        <v>3</v>
      </c>
      <c r="B67">
        <f t="shared" si="15"/>
        <v>4800</v>
      </c>
      <c r="C67">
        <f t="shared" si="16"/>
        <v>8600</v>
      </c>
    </row>
    <row r="68" spans="1:3">
      <c r="A68" s="6">
        <v>4</v>
      </c>
      <c r="B68">
        <f t="shared" si="15"/>
        <v>4800</v>
      </c>
      <c r="C68">
        <f t="shared" si="16"/>
        <v>8600</v>
      </c>
    </row>
    <row r="69" spans="1:3">
      <c r="A69" s="6">
        <v>5</v>
      </c>
      <c r="B69">
        <f t="shared" si="15"/>
        <v>4800</v>
      </c>
      <c r="C69">
        <f t="shared" si="16"/>
        <v>8600</v>
      </c>
    </row>
    <row r="70" spans="1:3">
      <c r="A70" s="6">
        <v>6</v>
      </c>
      <c r="B70">
        <f t="shared" si="15"/>
        <v>4800</v>
      </c>
      <c r="C70">
        <f t="shared" si="16"/>
        <v>8600</v>
      </c>
    </row>
    <row r="71" spans="1:3">
      <c r="A71" s="6">
        <v>7</v>
      </c>
      <c r="B71">
        <f t="shared" si="15"/>
        <v>4800</v>
      </c>
      <c r="C71">
        <f t="shared" si="16"/>
        <v>8600</v>
      </c>
    </row>
    <row r="72" spans="1:3">
      <c r="A72" s="6">
        <v>8</v>
      </c>
      <c r="B72">
        <f t="shared" si="15"/>
        <v>4800</v>
      </c>
      <c r="C72">
        <f t="shared" si="16"/>
        <v>8600</v>
      </c>
    </row>
    <row r="73" spans="1:3">
      <c r="A73" s="6">
        <v>9</v>
      </c>
      <c r="B73">
        <f t="shared" si="15"/>
        <v>4800</v>
      </c>
      <c r="C73">
        <f t="shared" si="16"/>
        <v>8600</v>
      </c>
    </row>
    <row r="74" spans="1:3">
      <c r="A74" s="6">
        <v>10</v>
      </c>
      <c r="B74">
        <f t="shared" si="15"/>
        <v>4800</v>
      </c>
      <c r="C74">
        <f t="shared" si="16"/>
        <v>8600</v>
      </c>
    </row>
    <row r="76" spans="1:3">
      <c r="B76" t="s">
        <v>13</v>
      </c>
      <c r="C76" t="s">
        <v>13</v>
      </c>
    </row>
    <row r="77" spans="1:3">
      <c r="B77" s="1">
        <f>IRR(B64:B74)</f>
        <v>0.2018224418162935</v>
      </c>
      <c r="C77" s="1">
        <f>IRR(C64:C74)</f>
        <v>0.25772528357951496</v>
      </c>
    </row>
    <row r="79" spans="1:3">
      <c r="B79" t="s">
        <v>47</v>
      </c>
    </row>
    <row r="80" spans="1:3">
      <c r="A80" s="6">
        <v>0</v>
      </c>
      <c r="B80">
        <f>G3-F3</f>
        <v>-10000</v>
      </c>
    </row>
    <row r="81" spans="1:2">
      <c r="A81" s="6">
        <v>1</v>
      </c>
      <c r="B81">
        <f t="shared" ref="B81:B90" si="17">G4-F4</f>
        <v>3800</v>
      </c>
    </row>
    <row r="82" spans="1:2">
      <c r="A82" s="6">
        <v>2</v>
      </c>
      <c r="B82">
        <f t="shared" si="17"/>
        <v>3800</v>
      </c>
    </row>
    <row r="83" spans="1:2">
      <c r="A83" s="6">
        <v>3</v>
      </c>
      <c r="B83">
        <f t="shared" si="17"/>
        <v>3800</v>
      </c>
    </row>
    <row r="84" spans="1:2">
      <c r="A84" s="6">
        <v>4</v>
      </c>
      <c r="B84">
        <f t="shared" si="17"/>
        <v>3800</v>
      </c>
    </row>
    <row r="85" spans="1:2">
      <c r="A85" s="6">
        <v>5</v>
      </c>
      <c r="B85">
        <f t="shared" si="17"/>
        <v>3800</v>
      </c>
    </row>
    <row r="86" spans="1:2">
      <c r="A86" s="6">
        <v>6</v>
      </c>
      <c r="B86">
        <f t="shared" si="17"/>
        <v>3800</v>
      </c>
    </row>
    <row r="87" spans="1:2">
      <c r="A87" s="6">
        <v>7</v>
      </c>
      <c r="B87">
        <f t="shared" si="17"/>
        <v>3800</v>
      </c>
    </row>
    <row r="88" spans="1:2">
      <c r="A88" s="6">
        <v>8</v>
      </c>
      <c r="B88">
        <f t="shared" si="17"/>
        <v>3800</v>
      </c>
    </row>
    <row r="89" spans="1:2">
      <c r="A89" s="6">
        <v>9</v>
      </c>
      <c r="B89">
        <f t="shared" si="17"/>
        <v>3800</v>
      </c>
    </row>
    <row r="90" spans="1:2">
      <c r="A90" s="6">
        <v>10</v>
      </c>
      <c r="B90">
        <f t="shared" si="17"/>
        <v>3800</v>
      </c>
    </row>
    <row r="92" spans="1:2">
      <c r="B92" t="s">
        <v>13</v>
      </c>
    </row>
    <row r="93" spans="1:2">
      <c r="B93" s="1">
        <f>IRR(B80:B90)</f>
        <v>0.36280299564674845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2020-05-31T22:31:55Z</dcterms:created>
  <dcterms:modified xsi:type="dcterms:W3CDTF">2020-06-03T09:02:17Z</dcterms:modified>
</cp:coreProperties>
</file>