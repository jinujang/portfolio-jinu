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ㄷ 경제성공학/과제/"/>
    </mc:Choice>
  </mc:AlternateContent>
  <xr:revisionPtr revIDLastSave="0" documentId="13_ncr:1_{C221E7A5-AEFC-BC40-AC32-AA5344DC2424}" xr6:coauthVersionLast="45" xr6:coauthVersionMax="45" xr10:uidLastSave="{00000000-0000-0000-0000-000000000000}"/>
  <bookViews>
    <workbookView xWindow="2120" yWindow="460" windowWidth="26420" windowHeight="15900" xr2:uid="{2C6B14FC-5D88-864D-829C-E6490692320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7" i="2" l="1"/>
  <c r="F12" i="2"/>
  <c r="C65" i="2" s="1"/>
  <c r="F11" i="2"/>
  <c r="C61" i="2" s="1"/>
  <c r="F10" i="2"/>
  <c r="C57" i="2" s="1"/>
  <c r="F13" i="2"/>
  <c r="C69" i="2" s="1"/>
  <c r="F17" i="2" l="1"/>
  <c r="F18" i="2"/>
  <c r="F19" i="2"/>
  <c r="F20" i="2"/>
  <c r="F28" i="2"/>
  <c r="F29" i="2" s="1"/>
</calcChain>
</file>

<file path=xl/sharedStrings.xml><?xml version="1.0" encoding="utf-8"?>
<sst xmlns="http://schemas.openxmlformats.org/spreadsheetml/2006/main" count="25" uniqueCount="23">
  <si>
    <t>분기별 수익률</t>
    <phoneticPr fontId="2" type="noConversion"/>
  </si>
  <si>
    <t>인플레이션율</t>
    <phoneticPr fontId="2" type="noConversion"/>
  </si>
  <si>
    <t>분기</t>
    <phoneticPr fontId="2" type="noConversion"/>
  </si>
  <si>
    <t>적립</t>
    <phoneticPr fontId="2" type="noConversion"/>
  </si>
  <si>
    <t>인출</t>
    <phoneticPr fontId="2" type="noConversion"/>
  </si>
  <si>
    <t>입력 자료</t>
    <phoneticPr fontId="2" type="noConversion"/>
  </si>
  <si>
    <t>연간 수업료</t>
    <phoneticPr fontId="2" type="noConversion"/>
  </si>
  <si>
    <t>(단위:만원)</t>
    <phoneticPr fontId="2" type="noConversion"/>
  </si>
  <si>
    <t>분기당 이자율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</si>
  <si>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</si>
  <si>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</si>
  <si>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</si>
  <si>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21년</t>
    <phoneticPr fontId="2" type="noConversion"/>
  </si>
  <si>
    <t>출력자료</t>
    <phoneticPr fontId="2" type="noConversion"/>
  </si>
  <si>
    <t>분기적립액</t>
    <phoneticPr fontId="2" type="noConversion"/>
  </si>
  <si>
    <t>적립액의 미래가치(V1)</t>
    <phoneticPr fontId="2" type="noConversion"/>
  </si>
  <si>
    <t>등록금의 현재가치(V2)</t>
    <phoneticPr fontId="2" type="noConversion"/>
  </si>
  <si>
    <t>목표값</t>
    <phoneticPr fontId="2" type="noConversion"/>
  </si>
  <si>
    <t>명목가치 연간수업료의 17세초의 금액</t>
    <phoneticPr fontId="2" type="noConversion"/>
  </si>
  <si>
    <t>18-17</t>
    <phoneticPr fontId="2" type="noConversion"/>
  </si>
  <si>
    <t>19-17</t>
    <phoneticPr fontId="2" type="noConversion"/>
  </si>
  <si>
    <t>20-17</t>
    <phoneticPr fontId="2" type="noConversion"/>
  </si>
  <si>
    <t>21-17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</si>
</sst>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_);[Red]\(&quot;₩&quot;#,##0\)"/>
  </numFmts>
  <fonts count="9">
    <font>
      <sz val="12"/>
      <color theme="1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4" tint="-0.249977111117893"/>
      <name val="맑은 고딕"/>
      <family val="2"/>
      <charset val="129"/>
      <scheme val="minor"/>
    </font>
    <font>
      <sz val="12"/>
      <color theme="4" tint="-0.249977111117893"/>
      <name val="맑은 고딕"/>
      <family val="2"/>
      <charset val="129"/>
      <scheme val="minor"/>
    </font>
    <font>
      <b/>
      <sz val="12"/>
      <color theme="5"/>
      <name val="맑은 고딕"/>
      <family val="2"/>
      <charset val="129"/>
      <scheme val="minor"/>
    </font>
    <font>
      <sz val="12"/>
      <color theme="5"/>
      <name val="맑은 고딕"/>
      <family val="2"/>
      <charset val="129"/>
      <scheme val="minor"/>
    </font>
    <font>
      <b/>
      <sz val="12"/>
      <color theme="6"/>
      <name val="맑은 고딕"/>
      <family val="2"/>
      <charset val="129"/>
      <scheme val="minor"/>
    </font>
    <font>
      <sz val="12"/>
      <color theme="6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50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2" borderId="6" xfId="1" applyBorder="1">
      <alignment vertical="center"/>
    </xf>
    <xf numFmtId="0" fontId="1" fillId="2" borderId="7" xfId="1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9" fontId="0" fillId="0" borderId="17" xfId="0" applyNumberFormat="1" applyBorder="1">
      <alignment vertical="center"/>
    </xf>
    <xf numFmtId="9" fontId="0" fillId="0" borderId="18" xfId="0" applyNumberFormat="1" applyBorder="1">
      <alignment vertical="center"/>
    </xf>
    <xf numFmtId="9" fontId="0" fillId="0" borderId="19" xfId="0" applyNumberForma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8" xfId="0" applyBorder="1">
      <alignment vertical="center"/>
    </xf>
    <xf numFmtId="0" fontId="1" fillId="2" borderId="25" xfId="1" applyBorder="1">
      <alignment vertical="center"/>
    </xf>
    <xf numFmtId="0" fontId="1" fillId="2" borderId="26" xfId="1" applyBorder="1">
      <alignment vertical="center"/>
    </xf>
    <xf numFmtId="0" fontId="0" fillId="0" borderId="27" xfId="0" applyBorder="1">
      <alignment vertical="center"/>
    </xf>
    <xf numFmtId="10" fontId="1" fillId="2" borderId="24" xfId="1" applyNumberFormat="1" applyBorder="1">
      <alignment vertical="center"/>
    </xf>
    <xf numFmtId="0" fontId="0" fillId="0" borderId="31" xfId="0" applyBorder="1">
      <alignment vertical="center"/>
    </xf>
    <xf numFmtId="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10" fontId="3" fillId="2" borderId="28" xfId="1" applyNumberFormat="1" applyFont="1" applyBorder="1">
      <alignment vertical="center"/>
    </xf>
    <xf numFmtId="0" fontId="4" fillId="0" borderId="2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1" xfId="0" applyFont="1" applyBorder="1">
      <alignment vertical="center"/>
    </xf>
    <xf numFmtId="10" fontId="5" fillId="2" borderId="24" xfId="1" applyNumberFormat="1" applyFont="1" applyBorder="1">
      <alignment vertical="center"/>
    </xf>
    <xf numFmtId="0" fontId="6" fillId="0" borderId="2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12" xfId="0" applyFont="1" applyBorder="1">
      <alignment vertical="center"/>
    </xf>
    <xf numFmtId="10" fontId="7" fillId="2" borderId="24" xfId="1" applyNumberFormat="1" applyFont="1" applyBorder="1">
      <alignment vertical="center"/>
    </xf>
    <xf numFmtId="0" fontId="8" fillId="0" borderId="0" xfId="0" applyFont="1">
      <alignment vertical="center"/>
    </xf>
    <xf numFmtId="0" fontId="8" fillId="0" borderId="32" xfId="0" applyFont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인플레이션율에 따른 적립할 금액 그래프</a:t>
            </a:r>
          </a:p>
        </c:rich>
      </c:tx>
      <c:layout>
        <c:manualLayout>
          <c:xMode val="edge"/>
          <c:yMode val="edge"/>
          <c:x val="0.31305035707745832"/>
          <c:y val="0.87738419618528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>
        <c:manualLayout>
          <c:layoutTarget val="inner"/>
          <c:xMode val="edge"/>
          <c:yMode val="edge"/>
          <c:x val="0.18730879570286271"/>
          <c:y val="0.19346049046321526"/>
          <c:w val="0.60300238674131734"/>
          <c:h val="0.52456864554056093"/>
        </c:manualLayout>
      </c:layout>
      <c:lineChart>
        <c:grouping val="standard"/>
        <c:varyColors val="0"/>
        <c:ser>
          <c:idx val="0"/>
          <c:order val="0"/>
          <c:tx>
            <c:v>수익률 1%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Sheet2!$I$7:$I$16</c:f>
              <c:numCache>
                <c:formatCode>0%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Sheet2!$J$7:$J$16</c:f>
              <c:numCache>
                <c:formatCode>General</c:formatCode>
                <c:ptCount val="10"/>
                <c:pt idx="0">
                  <c:v>205</c:v>
                </c:pt>
                <c:pt idx="1">
                  <c:v>236.5</c:v>
                </c:pt>
                <c:pt idx="2">
                  <c:v>272.39999999999998</c:v>
                </c:pt>
                <c:pt idx="3">
                  <c:v>313.39999999999998</c:v>
                </c:pt>
                <c:pt idx="4">
                  <c:v>360</c:v>
                </c:pt>
                <c:pt idx="5">
                  <c:v>413.1</c:v>
                </c:pt>
                <c:pt idx="6">
                  <c:v>473.5</c:v>
                </c:pt>
                <c:pt idx="7">
                  <c:v>542</c:v>
                </c:pt>
                <c:pt idx="8">
                  <c:v>619.9</c:v>
                </c:pt>
                <c:pt idx="9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0-D148-A4A5-AB88B727EA08}"/>
            </c:ext>
          </c:extLst>
        </c:ser>
        <c:ser>
          <c:idx val="1"/>
          <c:order val="1"/>
          <c:tx>
            <c:v>수익률 2%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Sheet2!$I$7:$I$16</c:f>
              <c:numCache>
                <c:formatCode>0%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Sheet2!$N$7:$N$16</c:f>
              <c:numCache>
                <c:formatCode>General</c:formatCode>
                <c:ptCount val="10"/>
                <c:pt idx="0">
                  <c:v>143.69999999999999</c:v>
                </c:pt>
                <c:pt idx="1">
                  <c:v>165.7</c:v>
                </c:pt>
                <c:pt idx="2">
                  <c:v>190.7</c:v>
                </c:pt>
                <c:pt idx="3">
                  <c:v>219.3</c:v>
                </c:pt>
                <c:pt idx="4">
                  <c:v>251.8</c:v>
                </c:pt>
                <c:pt idx="5">
                  <c:v>288.8</c:v>
                </c:pt>
                <c:pt idx="6">
                  <c:v>330.9</c:v>
                </c:pt>
                <c:pt idx="7">
                  <c:v>378.6</c:v>
                </c:pt>
                <c:pt idx="8">
                  <c:v>432.8</c:v>
                </c:pt>
                <c:pt idx="9">
                  <c:v>494.1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0-D148-A4A5-AB88B727EA08}"/>
            </c:ext>
          </c:extLst>
        </c:ser>
        <c:ser>
          <c:idx val="2"/>
          <c:order val="2"/>
          <c:tx>
            <c:v>수익률 3%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Sheet2!$I$7:$I$16</c:f>
              <c:numCache>
                <c:formatCode>0%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Sheet2!$R$7:$R$16</c:f>
              <c:numCache>
                <c:formatCode>General</c:formatCode>
                <c:ptCount val="10"/>
                <c:pt idx="0">
                  <c:v>99.520134673335363</c:v>
                </c:pt>
                <c:pt idx="1">
                  <c:v>114.65747727349364</c:v>
                </c:pt>
                <c:pt idx="2">
                  <c:v>131.93055321267826</c:v>
                </c:pt>
                <c:pt idx="3">
                  <c:v>151.61778239972412</c:v>
                </c:pt>
                <c:pt idx="4">
                  <c:v>174.03096976667271</c:v>
                </c:pt>
                <c:pt idx="5">
                  <c:v>199.5</c:v>
                </c:pt>
                <c:pt idx="6">
                  <c:v>228.47170643071686</c:v>
                </c:pt>
                <c:pt idx="7">
                  <c:v>261.32461643022623</c:v>
                </c:pt>
                <c:pt idx="8">
                  <c:v>298.56349312622547</c:v>
                </c:pt>
                <c:pt idx="9">
                  <c:v>340.72982756830493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0-D148-A4A5-AB88B727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183104"/>
        <c:axId val="1489159680"/>
      </c:lineChart>
      <c:catAx>
        <c:axId val="148918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인플레이션율  </a:t>
                </a:r>
                <a:r>
                  <a:rPr lang="en-US" altLang="ko-KR"/>
                  <a:t>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ore-K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489159680"/>
        <c:crosses val="autoZero"/>
        <c:auto val="1"/>
        <c:lblAlgn val="ctr"/>
        <c:lblOffset val="100"/>
        <c:noMultiLvlLbl val="0"/>
      </c:catAx>
      <c:valAx>
        <c:axId val="14891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적립할 금액 </a:t>
                </a:r>
                <a:r>
                  <a:rPr lang="en-US" altLang="ko-KR"/>
                  <a:t> (</a:t>
                </a:r>
                <a:r>
                  <a:rPr lang="ko-KR" altLang="en-US"/>
                  <a:t>만원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"/>
              <c:y val="0.283728464459653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ore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4891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15864022662885"/>
          <c:y val="0.23527859426291059"/>
          <c:w val="0.16293201133144475"/>
          <c:h val="0.33651354888540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901700</xdr:colOff>
      <xdr:row>16</xdr:row>
      <xdr:rowOff>127000</xdr:rowOff>
    </xdr:from>
    <xdr:to>
      <xdr:col>16</xdr:col>
      <xdr:colOff>698500</xdr:colOff>
      <xdr:row>36</xdr:row>
      <xdr:rowOff>215900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937AB03-C144-324D-8925-D1BA6C0D0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EB98-E023-DA46-8634-F535291354B2}">
  <dimension ref="A3:R69"/>
  <sheetViews>
    <sheetView tabSelected="1" topLeftCell="A10" workbookViewId="0">
      <selection activeCell="R6" sqref="R6:R16"/>
    </sheetView>
  </sheetViews>
  <sheetFormatPr baseColWidth="10" defaultRowHeight="18"/>
  <cols>
    <col min="3" max="3" width="6.5703125" customWidth="1"/>
    <col min="9" max="9" width="6.7109375" customWidth="1"/>
  </cols>
  <sheetData>
    <row r="3" spans="1:18">
      <c r="A3" s="8" t="s">
        <v>2</v>
      </c>
      <c r="B3" s="8" t="s">
        <v>3</v>
      </c>
      <c r="C3" s="8" t="s">
        <v>4</v>
      </c>
      <c r="D3" s="24"/>
      <c r="E3" s="29" t="s">
        <v>5</v>
      </c>
      <c r="F3" s="9" t="s">
        <v>7</v>
      </c>
    </row>
    <row r="4" spans="1:18" ht="19" thickBot="1"/>
    <row r="5" spans="1:18" ht="19" thickBot="1">
      <c r="A5">
        <v>0</v>
      </c>
      <c r="D5" t="s">
        <v>6</v>
      </c>
      <c r="F5">
        <v>3000</v>
      </c>
      <c r="J5" s="6"/>
      <c r="K5" s="7"/>
      <c r="L5" s="7"/>
      <c r="M5" s="7" t="s">
        <v>0</v>
      </c>
      <c r="N5" s="7"/>
      <c r="O5" s="7"/>
      <c r="P5" s="25"/>
      <c r="Q5" s="26"/>
      <c r="R5" s="27"/>
    </row>
    <row r="6" spans="1:18" ht="19" thickBot="1">
      <c r="A6">
        <v>1</v>
      </c>
      <c r="B6">
        <v>1</v>
      </c>
      <c r="D6" t="s">
        <v>1</v>
      </c>
      <c r="F6" s="1">
        <v>0.01</v>
      </c>
      <c r="J6" s="34">
        <v>0.01</v>
      </c>
      <c r="K6" s="28">
        <v>1.2500000000000001E-2</v>
      </c>
      <c r="L6" s="28">
        <v>1.4999999999999999E-2</v>
      </c>
      <c r="M6" s="28">
        <v>1.7500000000000002E-2</v>
      </c>
      <c r="N6" s="39">
        <v>0.02</v>
      </c>
      <c r="O6" s="28">
        <v>2.2499999999999999E-2</v>
      </c>
      <c r="P6" s="28">
        <v>2.5000000000000001E-2</v>
      </c>
      <c r="Q6" s="28">
        <v>2.75E-2</v>
      </c>
      <c r="R6" s="47">
        <v>0.03</v>
      </c>
    </row>
    <row r="7" spans="1:18">
      <c r="A7">
        <v>2</v>
      </c>
      <c r="B7">
        <v>1</v>
      </c>
      <c r="D7" t="s">
        <v>8</v>
      </c>
      <c r="F7" s="31">
        <v>0.03</v>
      </c>
      <c r="H7" s="3" t="s">
        <v>1</v>
      </c>
      <c r="I7" s="17">
        <v>0.01</v>
      </c>
      <c r="J7" s="35">
        <v>205</v>
      </c>
      <c r="K7" s="23">
        <v>187.8</v>
      </c>
      <c r="L7" s="22">
        <v>171.9</v>
      </c>
      <c r="M7" s="10">
        <v>157.19999999999999</v>
      </c>
      <c r="N7" s="40">
        <v>143.69999999999999</v>
      </c>
      <c r="O7">
        <v>131.26044080194595</v>
      </c>
      <c r="P7">
        <v>119.77625608353358</v>
      </c>
      <c r="Q7">
        <v>109.21781918024419</v>
      </c>
      <c r="R7" s="48">
        <v>99.520134673335363</v>
      </c>
    </row>
    <row r="8" spans="1:18">
      <c r="A8">
        <v>3</v>
      </c>
      <c r="B8">
        <v>1</v>
      </c>
      <c r="H8" s="4"/>
      <c r="I8" s="18">
        <v>0.02</v>
      </c>
      <c r="J8" s="36">
        <v>236.5</v>
      </c>
      <c r="K8" s="14">
        <v>216.6</v>
      </c>
      <c r="L8" s="13">
        <v>198.2</v>
      </c>
      <c r="M8" s="8">
        <v>181.3</v>
      </c>
      <c r="N8" s="41">
        <v>165.7</v>
      </c>
      <c r="O8">
        <v>151.27967583470607</v>
      </c>
      <c r="P8">
        <v>138.02745914356154</v>
      </c>
      <c r="Q8">
        <v>125.84515238516164</v>
      </c>
      <c r="R8" s="48">
        <v>114.65747727349364</v>
      </c>
    </row>
    <row r="9" spans="1:18" ht="19" thickBot="1">
      <c r="A9">
        <v>4</v>
      </c>
      <c r="B9">
        <v>1</v>
      </c>
      <c r="D9" s="24"/>
      <c r="E9" s="29" t="s">
        <v>6</v>
      </c>
      <c r="F9" s="9"/>
      <c r="H9" s="4"/>
      <c r="I9" s="19">
        <v>0.03</v>
      </c>
      <c r="J9" s="37">
        <v>272.39999999999998</v>
      </c>
      <c r="K9" s="16">
        <v>249.4</v>
      </c>
      <c r="L9" s="15">
        <v>228.3</v>
      </c>
      <c r="M9" s="21">
        <v>208.7</v>
      </c>
      <c r="N9" s="42">
        <v>190.7</v>
      </c>
      <c r="O9">
        <v>174.13159807168708</v>
      </c>
      <c r="P9">
        <v>158.858687507496</v>
      </c>
      <c r="Q9">
        <v>144.82069664638499</v>
      </c>
      <c r="R9" s="48">
        <v>131.93055321267826</v>
      </c>
    </row>
    <row r="10" spans="1:18">
      <c r="A10">
        <v>5</v>
      </c>
      <c r="B10">
        <v>1</v>
      </c>
      <c r="D10" t="s">
        <v>9</v>
      </c>
      <c r="F10" s="30">
        <f>FV($F$6,13,,-$F$5)</f>
        <v>3414.2798412998686</v>
      </c>
      <c r="H10" s="4"/>
      <c r="I10" s="17">
        <v>0.04</v>
      </c>
      <c r="J10" s="38">
        <v>313.39999999999998</v>
      </c>
      <c r="K10" s="12">
        <v>286.89999999999998</v>
      </c>
      <c r="L10" s="11">
        <v>262.5</v>
      </c>
      <c r="M10" s="20">
        <v>240</v>
      </c>
      <c r="N10" s="43">
        <v>219.3</v>
      </c>
      <c r="O10" s="3">
        <v>200.18661667773151</v>
      </c>
      <c r="P10" s="32">
        <v>182.60696731803995</v>
      </c>
      <c r="Q10">
        <v>166.45088349346187</v>
      </c>
      <c r="R10" s="48">
        <v>151.61778239972412</v>
      </c>
    </row>
    <row r="11" spans="1:18">
      <c r="A11">
        <v>6</v>
      </c>
      <c r="B11">
        <v>1</v>
      </c>
      <c r="D11" t="s">
        <v>10</v>
      </c>
      <c r="F11" s="30">
        <f>FV($F$6,14,,-$F$5)</f>
        <v>3448.4226397128677</v>
      </c>
      <c r="H11" s="4"/>
      <c r="I11" s="18">
        <v>0.05</v>
      </c>
      <c r="J11" s="36">
        <v>360</v>
      </c>
      <c r="K11" s="14">
        <v>329.6</v>
      </c>
      <c r="L11" s="13">
        <v>301.5</v>
      </c>
      <c r="M11" s="8">
        <v>275.60000000000002</v>
      </c>
      <c r="N11" s="44">
        <v>251.8</v>
      </c>
      <c r="O11" s="4">
        <v>229.85969957318207</v>
      </c>
      <c r="P11" s="2">
        <v>209.64982413110195</v>
      </c>
      <c r="Q11">
        <v>191.07892786031709</v>
      </c>
      <c r="R11" s="48">
        <v>174.03096976667271</v>
      </c>
    </row>
    <row r="12" spans="1:18">
      <c r="A12">
        <v>7</v>
      </c>
      <c r="B12">
        <v>1</v>
      </c>
      <c r="D12" t="s">
        <v>11</v>
      </c>
      <c r="F12" s="30">
        <f>FV($F$6,15,,-$F$5)</f>
        <v>3482.9068661099955</v>
      </c>
      <c r="H12" s="4"/>
      <c r="I12" s="18">
        <v>0.06</v>
      </c>
      <c r="J12" s="36">
        <v>413.1</v>
      </c>
      <c r="K12" s="14">
        <v>378.2</v>
      </c>
      <c r="L12" s="13">
        <v>345.9</v>
      </c>
      <c r="M12" s="8">
        <v>316.2</v>
      </c>
      <c r="N12" s="44">
        <v>288.8</v>
      </c>
      <c r="O12" s="4">
        <v>263.6152786811374</v>
      </c>
      <c r="P12" s="24">
        <v>240.4</v>
      </c>
      <c r="Q12">
        <v>219.08886832905276</v>
      </c>
      <c r="R12" s="49">
        <v>199.5</v>
      </c>
    </row>
    <row r="13" spans="1:18" ht="19" thickBot="1">
      <c r="A13">
        <v>8</v>
      </c>
      <c r="B13">
        <v>1</v>
      </c>
      <c r="D13" t="s">
        <v>12</v>
      </c>
      <c r="F13" s="30">
        <f>FV($F$6,16,,-$F$5)</f>
        <v>3517.7359347710963</v>
      </c>
      <c r="H13" s="4"/>
      <c r="I13" s="19">
        <v>7.0000000000000007E-2</v>
      </c>
      <c r="J13" s="37">
        <v>473.5</v>
      </c>
      <c r="K13" s="16">
        <v>433.4</v>
      </c>
      <c r="L13" s="15">
        <v>396.4</v>
      </c>
      <c r="M13" s="21">
        <v>362.3</v>
      </c>
      <c r="N13" s="45">
        <v>330.9</v>
      </c>
      <c r="O13" s="5">
        <v>301.97264625135352</v>
      </c>
      <c r="P13" s="33">
        <v>275.35903374396304</v>
      </c>
      <c r="Q13">
        <v>250.91001092077579</v>
      </c>
      <c r="R13" s="48">
        <v>228.47170643071686</v>
      </c>
    </row>
    <row r="14" spans="1:18">
      <c r="A14">
        <v>9</v>
      </c>
      <c r="B14">
        <v>1</v>
      </c>
      <c r="H14" s="4"/>
      <c r="I14" s="17">
        <v>0.08</v>
      </c>
      <c r="J14" s="38">
        <v>542</v>
      </c>
      <c r="K14" s="12">
        <v>496.1</v>
      </c>
      <c r="L14" s="11">
        <v>453.7</v>
      </c>
      <c r="M14" s="20">
        <v>414.6</v>
      </c>
      <c r="N14" s="46">
        <v>378.6</v>
      </c>
      <c r="O14" s="22">
        <v>345.5</v>
      </c>
      <c r="P14">
        <v>315.02528209481869</v>
      </c>
      <c r="Q14">
        <v>287.02181281233351</v>
      </c>
      <c r="R14" s="48">
        <v>261.32461643022623</v>
      </c>
    </row>
    <row r="15" spans="1:18">
      <c r="A15">
        <v>10</v>
      </c>
      <c r="B15">
        <v>1</v>
      </c>
      <c r="H15" s="4"/>
      <c r="I15" s="18">
        <v>0.09</v>
      </c>
      <c r="J15" s="36">
        <v>619.9</v>
      </c>
      <c r="K15" s="14">
        <v>567.29999999999995</v>
      </c>
      <c r="L15" s="13">
        <v>518.79999999999995</v>
      </c>
      <c r="M15" s="8">
        <v>474</v>
      </c>
      <c r="N15" s="41">
        <v>432.8</v>
      </c>
      <c r="O15" s="13">
        <v>394.8</v>
      </c>
      <c r="P15">
        <v>359.99719598935127</v>
      </c>
      <c r="Q15">
        <v>327.95924529047721</v>
      </c>
      <c r="R15" s="48">
        <v>298.56349312622547</v>
      </c>
    </row>
    <row r="16" spans="1:18" ht="19" thickBot="1">
      <c r="A16">
        <v>11</v>
      </c>
      <c r="B16">
        <v>1</v>
      </c>
      <c r="D16" t="s">
        <v>18</v>
      </c>
      <c r="H16" s="5"/>
      <c r="I16" s="19">
        <v>0.1</v>
      </c>
      <c r="J16" s="37">
        <v>708</v>
      </c>
      <c r="K16" s="16">
        <v>647.9</v>
      </c>
      <c r="L16" s="15">
        <v>592.4</v>
      </c>
      <c r="M16" s="21">
        <v>541.29999999999995</v>
      </c>
      <c r="N16" s="42">
        <v>494.1</v>
      </c>
      <c r="O16" s="15">
        <v>450.8</v>
      </c>
      <c r="P16">
        <v>410.93112808801982</v>
      </c>
      <c r="Q16">
        <v>374.31867839661288</v>
      </c>
      <c r="R16" s="48">
        <v>340.72982756830493</v>
      </c>
    </row>
    <row r="17" spans="1:6">
      <c r="A17">
        <v>12</v>
      </c>
      <c r="B17">
        <v>1</v>
      </c>
      <c r="D17" t="s">
        <v>19</v>
      </c>
      <c r="F17" s="30">
        <f>PV($F$7,4,,-F10)</f>
        <v>3033.5434169545674</v>
      </c>
    </row>
    <row r="18" spans="1:6">
      <c r="A18">
        <v>13</v>
      </c>
      <c r="B18">
        <v>1</v>
      </c>
      <c r="D18" t="s">
        <v>20</v>
      </c>
      <c r="F18" s="30">
        <f>PV($F$7,8,,-F11)</f>
        <v>2722.2166756065762</v>
      </c>
    </row>
    <row r="19" spans="1:6">
      <c r="A19">
        <v>14</v>
      </c>
      <c r="B19">
        <v>1</v>
      </c>
      <c r="D19" t="s">
        <v>21</v>
      </c>
      <c r="F19" s="30">
        <f>PV($F$7,12,,-F12)</f>
        <v>2442.8408004755124</v>
      </c>
    </row>
    <row r="20" spans="1:6">
      <c r="A20">
        <v>15</v>
      </c>
      <c r="B20">
        <v>1</v>
      </c>
      <c r="D20" t="s">
        <v>22</v>
      </c>
      <c r="F20" s="30">
        <f>PV($F$7,16,,-F13)</f>
        <v>2192.136735455912</v>
      </c>
    </row>
    <row r="21" spans="1:6">
      <c r="A21">
        <v>16</v>
      </c>
      <c r="B21">
        <v>1</v>
      </c>
    </row>
    <row r="22" spans="1:6">
      <c r="A22">
        <v>17</v>
      </c>
      <c r="B22">
        <v>1</v>
      </c>
    </row>
    <row r="23" spans="1:6">
      <c r="A23">
        <v>18</v>
      </c>
      <c r="B23">
        <v>1</v>
      </c>
    </row>
    <row r="24" spans="1:6">
      <c r="A24">
        <v>19</v>
      </c>
      <c r="B24">
        <v>1</v>
      </c>
      <c r="D24" s="24"/>
      <c r="E24" s="29" t="s">
        <v>13</v>
      </c>
      <c r="F24" s="9"/>
    </row>
    <row r="25" spans="1:6">
      <c r="A25">
        <v>20</v>
      </c>
      <c r="B25">
        <v>1</v>
      </c>
    </row>
    <row r="26" spans="1:6">
      <c r="A26">
        <v>21</v>
      </c>
      <c r="B26">
        <v>1</v>
      </c>
      <c r="D26" t="s">
        <v>14</v>
      </c>
      <c r="F26">
        <v>99.52013467333532</v>
      </c>
    </row>
    <row r="27" spans="1:6">
      <c r="A27">
        <v>22</v>
      </c>
      <c r="B27">
        <v>1</v>
      </c>
      <c r="D27" t="s">
        <v>15</v>
      </c>
      <c r="F27" s="30">
        <f>FV($F$7,48,-F26)</f>
        <v>10390.737628492572</v>
      </c>
    </row>
    <row r="28" spans="1:6">
      <c r="A28">
        <v>23</v>
      </c>
      <c r="B28">
        <v>1</v>
      </c>
      <c r="D28" t="s">
        <v>16</v>
      </c>
      <c r="F28" s="1">
        <f>PV($F$7,4,,-C57)+PV($F$7,8,,-C61)+PV($F$7,12,,-C65)+PV($F$7,16,,-C69)</f>
        <v>10390.737628492569</v>
      </c>
    </row>
    <row r="29" spans="1:6">
      <c r="A29">
        <v>24</v>
      </c>
      <c r="B29">
        <v>1</v>
      </c>
      <c r="D29" t="s">
        <v>17</v>
      </c>
      <c r="F29" s="30">
        <f>F27-F28</f>
        <v>0</v>
      </c>
    </row>
    <row r="30" spans="1:6">
      <c r="A30">
        <v>25</v>
      </c>
      <c r="B30">
        <v>1</v>
      </c>
    </row>
    <row r="31" spans="1:6">
      <c r="A31">
        <v>26</v>
      </c>
      <c r="B31">
        <v>1</v>
      </c>
    </row>
    <row r="32" spans="1:6">
      <c r="A32">
        <v>27</v>
      </c>
      <c r="B32">
        <v>1</v>
      </c>
    </row>
    <row r="33" spans="1:2">
      <c r="A33">
        <v>28</v>
      </c>
      <c r="B33">
        <v>1</v>
      </c>
    </row>
    <row r="34" spans="1:2">
      <c r="A34">
        <v>29</v>
      </c>
      <c r="B34">
        <v>1</v>
      </c>
    </row>
    <row r="35" spans="1:2">
      <c r="A35">
        <v>30</v>
      </c>
      <c r="B35">
        <v>1</v>
      </c>
    </row>
    <row r="36" spans="1:2">
      <c r="A36">
        <v>31</v>
      </c>
      <c r="B36">
        <v>1</v>
      </c>
    </row>
    <row r="37" spans="1:2">
      <c r="A37">
        <v>32</v>
      </c>
      <c r="B37">
        <v>1</v>
      </c>
    </row>
    <row r="38" spans="1:2">
      <c r="A38">
        <v>33</v>
      </c>
      <c r="B38">
        <v>1</v>
      </c>
    </row>
    <row r="39" spans="1:2">
      <c r="A39">
        <v>34</v>
      </c>
      <c r="B39">
        <v>1</v>
      </c>
    </row>
    <row r="40" spans="1:2">
      <c r="A40">
        <v>35</v>
      </c>
      <c r="B40">
        <v>1</v>
      </c>
    </row>
    <row r="41" spans="1:2">
      <c r="A41">
        <v>36</v>
      </c>
      <c r="B41">
        <v>1</v>
      </c>
    </row>
    <row r="42" spans="1:2">
      <c r="A42">
        <v>37</v>
      </c>
      <c r="B42">
        <v>1</v>
      </c>
    </row>
    <row r="43" spans="1:2">
      <c r="A43">
        <v>38</v>
      </c>
      <c r="B43">
        <v>1</v>
      </c>
    </row>
    <row r="44" spans="1:2">
      <c r="A44">
        <v>39</v>
      </c>
      <c r="B44">
        <v>1</v>
      </c>
    </row>
    <row r="45" spans="1:2">
      <c r="A45">
        <v>40</v>
      </c>
      <c r="B45">
        <v>1</v>
      </c>
    </row>
    <row r="46" spans="1:2">
      <c r="A46">
        <v>41</v>
      </c>
      <c r="B46">
        <v>1</v>
      </c>
    </row>
    <row r="47" spans="1:2">
      <c r="A47">
        <v>42</v>
      </c>
      <c r="B47">
        <v>1</v>
      </c>
    </row>
    <row r="48" spans="1:2">
      <c r="A48">
        <v>43</v>
      </c>
      <c r="B48">
        <v>1</v>
      </c>
    </row>
    <row r="49" spans="1:3">
      <c r="A49">
        <v>44</v>
      </c>
      <c r="B49">
        <v>1</v>
      </c>
    </row>
    <row r="50" spans="1:3">
      <c r="A50">
        <v>45</v>
      </c>
      <c r="B50">
        <v>1</v>
      </c>
    </row>
    <row r="51" spans="1:3">
      <c r="A51">
        <v>46</v>
      </c>
      <c r="B51">
        <v>1</v>
      </c>
    </row>
    <row r="52" spans="1:3">
      <c r="A52">
        <v>47</v>
      </c>
      <c r="B52">
        <v>1</v>
      </c>
    </row>
    <row r="53" spans="1:3">
      <c r="A53">
        <v>48</v>
      </c>
      <c r="B53">
        <v>1</v>
      </c>
    </row>
    <row r="54" spans="1:3">
      <c r="A54">
        <v>49</v>
      </c>
      <c r="B54">
        <v>1</v>
      </c>
    </row>
    <row r="55" spans="1:3">
      <c r="A55">
        <v>50</v>
      </c>
      <c r="B55">
        <v>1</v>
      </c>
    </row>
    <row r="56" spans="1:3">
      <c r="A56">
        <v>51</v>
      </c>
      <c r="B56">
        <v>1</v>
      </c>
    </row>
    <row r="57" spans="1:3">
      <c r="A57">
        <v>52</v>
      </c>
      <c r="B57">
        <v>1</v>
      </c>
      <c r="C57" s="30">
        <f>F10</f>
        <v>3414.2798412998686</v>
      </c>
    </row>
    <row r="58" spans="1:3">
      <c r="A58">
        <v>53</v>
      </c>
      <c r="B58">
        <v>1</v>
      </c>
    </row>
    <row r="59" spans="1:3">
      <c r="A59">
        <v>54</v>
      </c>
      <c r="B59">
        <v>1</v>
      </c>
    </row>
    <row r="60" spans="1:3">
      <c r="A60">
        <v>55</v>
      </c>
      <c r="B60">
        <v>1</v>
      </c>
    </row>
    <row r="61" spans="1:3">
      <c r="A61">
        <v>56</v>
      </c>
      <c r="B61">
        <v>1</v>
      </c>
      <c r="C61" s="30">
        <f>F11</f>
        <v>3448.4226397128677</v>
      </c>
    </row>
    <row r="62" spans="1:3">
      <c r="A62">
        <v>57</v>
      </c>
      <c r="B62">
        <v>1</v>
      </c>
    </row>
    <row r="63" spans="1:3">
      <c r="A63">
        <v>58</v>
      </c>
      <c r="B63">
        <v>1</v>
      </c>
    </row>
    <row r="64" spans="1:3">
      <c r="A64">
        <v>59</v>
      </c>
      <c r="B64">
        <v>1</v>
      </c>
    </row>
    <row r="65" spans="1:3">
      <c r="A65">
        <v>60</v>
      </c>
      <c r="B65">
        <v>1</v>
      </c>
      <c r="C65" s="30">
        <f>F12</f>
        <v>3482.9068661099955</v>
      </c>
    </row>
    <row r="66" spans="1:3">
      <c r="A66">
        <v>61</v>
      </c>
      <c r="B66">
        <v>1</v>
      </c>
    </row>
    <row r="67" spans="1:3">
      <c r="A67">
        <v>62</v>
      </c>
      <c r="B67">
        <v>1</v>
      </c>
    </row>
    <row r="68" spans="1:3">
      <c r="A68">
        <v>63</v>
      </c>
      <c r="B68">
        <v>1</v>
      </c>
    </row>
    <row r="69" spans="1:3">
      <c r="A69">
        <v>64</v>
      </c>
      <c r="B69">
        <v>1</v>
      </c>
      <c r="C69" s="30">
        <f>F13</f>
        <v>3517.7359347710963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2020-05-13T12:45:54Z</dcterms:created>
  <dcterms:modified xsi:type="dcterms:W3CDTF">2020-05-13T15:11:55Z</dcterms:modified>
</cp:coreProperties>
</file>