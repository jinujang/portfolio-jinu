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드라이브/1.실행/대학생활/2학년 1학기/ㄴ 경영과학1 및 실습/1~7주차/"/>
    </mc:Choice>
  </mc:AlternateContent>
  <xr:revisionPtr revIDLastSave="0" documentId="13_ncr:1_{0A64DF3C-6B7D-2442-A8AC-F8524BAEDB3E}" xr6:coauthVersionLast="45" xr6:coauthVersionMax="45" xr10:uidLastSave="{00000000-0000-0000-0000-000000000000}"/>
  <bookViews>
    <workbookView xWindow="220" yWindow="460" windowWidth="20480" windowHeight="17040" xr2:uid="{79D9574D-7D15-8241-8166-E10371F9327A}"/>
  </bookViews>
  <sheets>
    <sheet name="Sheet1" sheetId="1" r:id="rId1"/>
    <sheet name="민감도 보고서 1" sheetId="2" r:id="rId2"/>
    <sheet name="민감도 보고서 2" sheetId="7" r:id="rId3"/>
    <sheet name="Sheet1 (2)" sheetId="8" r:id="rId4"/>
    <sheet name="실습문제2" sheetId="9" r:id="rId5"/>
    <sheet name="민감도 보고서 3" sheetId="5" r:id="rId6"/>
    <sheet name="민감도 보고서 4" sheetId="11" r:id="rId7"/>
    <sheet name="실습문제2 3." sheetId="12" r:id="rId8"/>
  </sheets>
  <definedNames>
    <definedName name="solver_adj" localSheetId="4" hidden="1">실습문제2!$B$12:$D$13</definedName>
    <definedName name="solver_adj" localSheetId="7" hidden="1">'실습문제2 3.'!$B$12:$D$13</definedName>
    <definedName name="solver_adj" localSheetId="0" hidden="1">Sheet1!$B$12:$D$13</definedName>
    <definedName name="solver_adj" localSheetId="3" hidden="1">'Sheet1 (2)'!$B$12:$D$13</definedName>
    <definedName name="solver_cvg" localSheetId="4" hidden="1">0.0001</definedName>
    <definedName name="solver_cvg" localSheetId="7" hidden="1">0.0001</definedName>
    <definedName name="solver_cvg" localSheetId="0" hidden="1">0.0001</definedName>
    <definedName name="solver_cvg" localSheetId="3" hidden="1">0.0001</definedName>
    <definedName name="solver_drv" localSheetId="4" hidden="1">1</definedName>
    <definedName name="solver_drv" localSheetId="7" hidden="1">1</definedName>
    <definedName name="solver_drv" localSheetId="0" hidden="1">1</definedName>
    <definedName name="solver_drv" localSheetId="3" hidden="1">1</definedName>
    <definedName name="solver_eng" localSheetId="4" hidden="1">2</definedName>
    <definedName name="solver_eng" localSheetId="7" hidden="1">2</definedName>
    <definedName name="solver_eng" localSheetId="0" hidden="1">2</definedName>
    <definedName name="solver_eng" localSheetId="3" hidden="1">2</definedName>
    <definedName name="solver_itr" localSheetId="4" hidden="1">2147483647</definedName>
    <definedName name="solver_itr" localSheetId="7" hidden="1">2147483647</definedName>
    <definedName name="solver_itr" localSheetId="0" hidden="1">2147483647</definedName>
    <definedName name="solver_itr" localSheetId="3" hidden="1">2147483647</definedName>
    <definedName name="solver_lhs1" localSheetId="4" hidden="1">실습문제2!$B$16:$D$16</definedName>
    <definedName name="solver_lhs1" localSheetId="7" hidden="1">'실습문제2 3.'!$B$16:$D$16</definedName>
    <definedName name="solver_lhs1" localSheetId="0" hidden="1">Sheet1!$B$16:$D$16</definedName>
    <definedName name="solver_lhs1" localSheetId="3" hidden="1">'Sheet1 (2)'!$B$16:$D$16</definedName>
    <definedName name="solver_lhs2" localSheetId="4" hidden="1">실습문제2!$D$19:$D$20</definedName>
    <definedName name="solver_lhs2" localSheetId="7" hidden="1">'실습문제2 3.'!$D$19:$D$20</definedName>
    <definedName name="solver_lhs2" localSheetId="0" hidden="1">Sheet1!$B$19</definedName>
    <definedName name="solver_lhs2" localSheetId="3" hidden="1">'Sheet1 (2)'!$D$19</definedName>
    <definedName name="solver_lhs3" localSheetId="4" hidden="1">실습문제2!$E$19:$E$20</definedName>
    <definedName name="solver_lhs3" localSheetId="7" hidden="1">'실습문제2 3.'!$E$19:$E$20</definedName>
    <definedName name="solver_lhs3" localSheetId="0" hidden="1">Sheet1!$B$20</definedName>
    <definedName name="solver_lhs3" localSheetId="3" hidden="1">'Sheet1 (2)'!$D$20</definedName>
    <definedName name="solver_lhs4" localSheetId="4" hidden="1">실습문제2!$E$19:$E$20</definedName>
    <definedName name="solver_lhs4" localSheetId="7" hidden="1">'실습문제2 3.'!$E$19:$E$20</definedName>
    <definedName name="solver_lhs4" localSheetId="0" hidden="1">Sheet1!$E$19:$E$20</definedName>
    <definedName name="solver_lhs4" localSheetId="3" hidden="1">'Sheet1 (2)'!$E$19:$E$20</definedName>
    <definedName name="solver_lhs5" localSheetId="4" hidden="1">실습문제2!$D$14</definedName>
    <definedName name="solver_lhs5" localSheetId="7" hidden="1">'실습문제2 3.'!$D$14</definedName>
    <definedName name="solver_lhs5" localSheetId="0" hidden="1">Sheet1!$D$14</definedName>
    <definedName name="solver_lhs5" localSheetId="3" hidden="1">'Sheet1 (2)'!$D$14</definedName>
    <definedName name="solver_lin" localSheetId="4" hidden="1">1</definedName>
    <definedName name="solver_lin" localSheetId="7" hidden="1">1</definedName>
    <definedName name="solver_lin" localSheetId="0" hidden="1">1</definedName>
    <definedName name="solver_lin" localSheetId="3" hidden="1">1</definedName>
    <definedName name="solver_mip" localSheetId="4" hidden="1">2147483647</definedName>
    <definedName name="solver_mip" localSheetId="7" hidden="1">2147483647</definedName>
    <definedName name="solver_mip" localSheetId="0" hidden="1">2147483647</definedName>
    <definedName name="solver_mip" localSheetId="3" hidden="1">2147483647</definedName>
    <definedName name="solver_mni" localSheetId="4" hidden="1">30</definedName>
    <definedName name="solver_mni" localSheetId="7" hidden="1">30</definedName>
    <definedName name="solver_mni" localSheetId="0" hidden="1">30</definedName>
    <definedName name="solver_mni" localSheetId="3" hidden="1">30</definedName>
    <definedName name="solver_mrt" localSheetId="4" hidden="1">0.075</definedName>
    <definedName name="solver_mrt" localSheetId="7" hidden="1">0.075</definedName>
    <definedName name="solver_mrt" localSheetId="0" hidden="1">0.075</definedName>
    <definedName name="solver_mrt" localSheetId="3" hidden="1">0.075</definedName>
    <definedName name="solver_msl" localSheetId="4" hidden="1">2</definedName>
    <definedName name="solver_msl" localSheetId="7" hidden="1">2</definedName>
    <definedName name="solver_msl" localSheetId="0" hidden="1">2</definedName>
    <definedName name="solver_msl" localSheetId="3" hidden="1">2</definedName>
    <definedName name="solver_neg" localSheetId="4" hidden="1">1</definedName>
    <definedName name="solver_neg" localSheetId="7" hidden="1">1</definedName>
    <definedName name="solver_neg" localSheetId="0" hidden="1">1</definedName>
    <definedName name="solver_neg" localSheetId="3" hidden="1">1</definedName>
    <definedName name="solver_nod" localSheetId="4" hidden="1">2147483647</definedName>
    <definedName name="solver_nod" localSheetId="7" hidden="1">2147483647</definedName>
    <definedName name="solver_nod" localSheetId="0" hidden="1">2147483647</definedName>
    <definedName name="solver_nod" localSheetId="3" hidden="1">2147483647</definedName>
    <definedName name="solver_num" localSheetId="4" hidden="1">3</definedName>
    <definedName name="solver_num" localSheetId="7" hidden="1">3</definedName>
    <definedName name="solver_num" localSheetId="0" hidden="1">3</definedName>
    <definedName name="solver_num" localSheetId="3" hidden="1">3</definedName>
    <definedName name="solver_opt" localSheetId="4" hidden="1">실습문제2!$B$22</definedName>
    <definedName name="solver_opt" localSheetId="7" hidden="1">'실습문제2 3.'!$B$22</definedName>
    <definedName name="solver_opt" localSheetId="0" hidden="1">Sheet1!$B$22</definedName>
    <definedName name="solver_opt" localSheetId="3" hidden="1">'Sheet1 (2)'!$B$22</definedName>
    <definedName name="solver_pre" localSheetId="4" hidden="1">0.000001</definedName>
    <definedName name="solver_pre" localSheetId="7" hidden="1">0.000001</definedName>
    <definedName name="solver_pre" localSheetId="0" hidden="1">0.000001</definedName>
    <definedName name="solver_pre" localSheetId="3" hidden="1">0.000001</definedName>
    <definedName name="solver_rbv" localSheetId="4" hidden="1">1</definedName>
    <definedName name="solver_rbv" localSheetId="7" hidden="1">1</definedName>
    <definedName name="solver_rbv" localSheetId="0" hidden="1">1</definedName>
    <definedName name="solver_rbv" localSheetId="3" hidden="1">1</definedName>
    <definedName name="solver_rel1" localSheetId="4" hidden="1">3</definedName>
    <definedName name="solver_rel1" localSheetId="7" hidden="1">3</definedName>
    <definedName name="solver_rel1" localSheetId="0" hidden="1">3</definedName>
    <definedName name="solver_rel1" localSheetId="3" hidden="1">3</definedName>
    <definedName name="solver_rel2" localSheetId="4" hidden="1">1</definedName>
    <definedName name="solver_rel2" localSheetId="7" hidden="1">1</definedName>
    <definedName name="solver_rel2" localSheetId="0" hidden="1">3</definedName>
    <definedName name="solver_rel2" localSheetId="3" hidden="1">1</definedName>
    <definedName name="solver_rel3" localSheetId="4" hidden="1">3</definedName>
    <definedName name="solver_rel3" localSheetId="7" hidden="1">3</definedName>
    <definedName name="solver_rel3" localSheetId="0" hidden="1">3</definedName>
    <definedName name="solver_rel3" localSheetId="3" hidden="1">1</definedName>
    <definedName name="solver_rel4" localSheetId="4" hidden="1">3</definedName>
    <definedName name="solver_rel4" localSheetId="7" hidden="1">3</definedName>
    <definedName name="solver_rel4" localSheetId="0" hidden="1">3</definedName>
    <definedName name="solver_rel4" localSheetId="3" hidden="1">3</definedName>
    <definedName name="solver_rel5" localSheetId="4" hidden="1">1</definedName>
    <definedName name="solver_rel5" localSheetId="7" hidden="1">1</definedName>
    <definedName name="solver_rel5" localSheetId="0" hidden="1">1</definedName>
    <definedName name="solver_rel5" localSheetId="3" hidden="1">1</definedName>
    <definedName name="solver_rhs1" localSheetId="4" hidden="1">실습문제2!$B$14:$D$14</definedName>
    <definedName name="solver_rhs1" localSheetId="7" hidden="1">'실습문제2 3.'!$B$14:$D$14</definedName>
    <definedName name="solver_rhs1" localSheetId="0" hidden="1">Sheet1!$B$14:$D$14</definedName>
    <definedName name="solver_rhs1" localSheetId="3" hidden="1">'Sheet1 (2)'!$B$14:$D$14</definedName>
    <definedName name="solver_rhs2" localSheetId="4" hidden="1">실습문제2!$B$19:$B$20</definedName>
    <definedName name="solver_rhs2" localSheetId="7" hidden="1">'실습문제2 3.'!$B$19:$B$20</definedName>
    <definedName name="solver_rhs2" localSheetId="0" hidden="1">Sheet1!$D$19</definedName>
    <definedName name="solver_rhs2" localSheetId="3" hidden="1">'Sheet1 (2)'!$B$19</definedName>
    <definedName name="solver_rhs3" localSheetId="4" hidden="1">실습문제2!$G$19:$G$20</definedName>
    <definedName name="solver_rhs3" localSheetId="7" hidden="1">'실습문제2 3.'!$G$19:$G$20</definedName>
    <definedName name="solver_rhs3" localSheetId="0" hidden="1">Sheet1!$D$20</definedName>
    <definedName name="solver_rhs3" localSheetId="3" hidden="1">'Sheet1 (2)'!$B$20</definedName>
    <definedName name="solver_rhs4" localSheetId="4" hidden="1">실습문제2!$G$19:$G$20</definedName>
    <definedName name="solver_rhs4" localSheetId="7" hidden="1">'실습문제2 3.'!$G$19:$G$20</definedName>
    <definedName name="solver_rhs4" localSheetId="0" hidden="1">Sheet1!$G$19:$G$20</definedName>
    <definedName name="solver_rhs4" localSheetId="3" hidden="1">'Sheet1 (2)'!$G$19:$G$20</definedName>
    <definedName name="solver_rhs5" localSheetId="4" hidden="1">실습문제2!$D$16</definedName>
    <definedName name="solver_rhs5" localSheetId="7" hidden="1">'실습문제2 3.'!$D$16</definedName>
    <definedName name="solver_rhs5" localSheetId="0" hidden="1">Sheet1!$D$16</definedName>
    <definedName name="solver_rhs5" localSheetId="3" hidden="1">'Sheet1 (2)'!$D$16</definedName>
    <definedName name="solver_rlx" localSheetId="4" hidden="1">2</definedName>
    <definedName name="solver_rlx" localSheetId="7" hidden="1">2</definedName>
    <definedName name="solver_rlx" localSheetId="0" hidden="1">2</definedName>
    <definedName name="solver_rlx" localSheetId="3" hidden="1">2</definedName>
    <definedName name="solver_rsd" localSheetId="4" hidden="1">0</definedName>
    <definedName name="solver_rsd" localSheetId="7" hidden="1">0</definedName>
    <definedName name="solver_rsd" localSheetId="0" hidden="1">0</definedName>
    <definedName name="solver_rsd" localSheetId="3" hidden="1">0</definedName>
    <definedName name="solver_scl" localSheetId="4" hidden="1">1</definedName>
    <definedName name="solver_scl" localSheetId="7" hidden="1">1</definedName>
    <definedName name="solver_scl" localSheetId="0" hidden="1">1</definedName>
    <definedName name="solver_scl" localSheetId="3" hidden="1">1</definedName>
    <definedName name="solver_sho" localSheetId="4" hidden="1">2</definedName>
    <definedName name="solver_sho" localSheetId="7" hidden="1">2</definedName>
    <definedName name="solver_sho" localSheetId="0" hidden="1">2</definedName>
    <definedName name="solver_sho" localSheetId="3" hidden="1">2</definedName>
    <definedName name="solver_ssz" localSheetId="4" hidden="1">100</definedName>
    <definedName name="solver_ssz" localSheetId="7" hidden="1">100</definedName>
    <definedName name="solver_ssz" localSheetId="0" hidden="1">100</definedName>
    <definedName name="solver_ssz" localSheetId="3" hidden="1">100</definedName>
    <definedName name="solver_tim" localSheetId="4" hidden="1">2147483647</definedName>
    <definedName name="solver_tim" localSheetId="7" hidden="1">2147483647</definedName>
    <definedName name="solver_tim" localSheetId="0" hidden="1">2147483647</definedName>
    <definedName name="solver_tim" localSheetId="3" hidden="1">2147483647</definedName>
    <definedName name="solver_tol" localSheetId="4" hidden="1">0.01</definedName>
    <definedName name="solver_tol" localSheetId="7" hidden="1">0.01</definedName>
    <definedName name="solver_tol" localSheetId="0" hidden="1">0.01</definedName>
    <definedName name="solver_tol" localSheetId="3" hidden="1">0.01</definedName>
    <definedName name="solver_typ" localSheetId="4" hidden="1">1</definedName>
    <definedName name="solver_typ" localSheetId="7" hidden="1">1</definedName>
    <definedName name="solver_typ" localSheetId="0" hidden="1">1</definedName>
    <definedName name="solver_typ" localSheetId="3" hidden="1">1</definedName>
    <definedName name="solver_val" localSheetId="4" hidden="1">0</definedName>
    <definedName name="solver_val" localSheetId="7" hidden="1">0</definedName>
    <definedName name="solver_val" localSheetId="0" hidden="1">0</definedName>
    <definedName name="solver_val" localSheetId="3" hidden="1">0</definedName>
    <definedName name="solver_ver" localSheetId="4" hidden="1">2</definedName>
    <definedName name="solver_ver" localSheetId="7" hidden="1">2</definedName>
    <definedName name="solver_ver" localSheetId="0" hidden="1">2</definedName>
    <definedName name="solver_ver" localSheetId="3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9" i="12" l="1"/>
  <c r="B20" i="12"/>
  <c r="E12" i="12"/>
  <c r="D19" i="12" s="1"/>
  <c r="D14" i="12"/>
  <c r="C14" i="12"/>
  <c r="B14" i="12"/>
  <c r="E13" i="12"/>
  <c r="D20" i="12" s="1"/>
  <c r="B20" i="9"/>
  <c r="B19" i="9"/>
  <c r="D14" i="9"/>
  <c r="C14" i="9"/>
  <c r="B14" i="9"/>
  <c r="E13" i="9"/>
  <c r="D20" i="9" s="1"/>
  <c r="E12" i="9"/>
  <c r="B20" i="8"/>
  <c r="B19" i="8"/>
  <c r="D14" i="8"/>
  <c r="C14" i="8"/>
  <c r="B14" i="8"/>
  <c r="E13" i="8"/>
  <c r="D20" i="8" s="1"/>
  <c r="E12" i="8"/>
  <c r="B22" i="8" s="1"/>
  <c r="B19" i="1"/>
  <c r="B20" i="1"/>
  <c r="C14" i="1"/>
  <c r="D14" i="1"/>
  <c r="B14" i="1"/>
  <c r="E13" i="1"/>
  <c r="D20" i="1" s="1"/>
  <c r="E12" i="1"/>
  <c r="G13" i="12" l="1"/>
  <c r="G12" i="12"/>
  <c r="E20" i="12"/>
  <c r="E19" i="12"/>
  <c r="B22" i="9"/>
  <c r="E20" i="9"/>
  <c r="D19" i="9"/>
  <c r="E19" i="9" s="1"/>
  <c r="E20" i="8"/>
  <c r="D19" i="8"/>
  <c r="E19" i="8" s="1"/>
  <c r="E20" i="1"/>
  <c r="B22" i="1"/>
  <c r="D19" i="1"/>
  <c r="E19" i="1" s="1"/>
  <c r="B22" i="12" l="1"/>
</calcChain>
</file>

<file path=xl/sharedStrings.xml><?xml version="1.0" encoding="utf-8"?>
<sst xmlns="http://schemas.openxmlformats.org/spreadsheetml/2006/main" count="358" uniqueCount="99">
  <si>
    <t>W사의 혼합생산(최적해)</t>
    <phoneticPr fontId="2" type="noConversion"/>
  </si>
  <si>
    <t>입력요소</t>
    <phoneticPr fontId="2" type="noConversion"/>
  </si>
  <si>
    <t>보유 포도등급</t>
    <phoneticPr fontId="2" type="noConversion"/>
  </si>
  <si>
    <t xml:space="preserve">1.(1) </t>
    <phoneticPr fontId="2" type="noConversion"/>
  </si>
  <si>
    <t xml:space="preserve">의사결정변수 9등급젤리 6등급젤리 4등급젤리 </t>
    <phoneticPr fontId="2" type="noConversion"/>
  </si>
  <si>
    <t>9등급주스 6등급주스 4등급주스</t>
    <phoneticPr fontId="2" type="noConversion"/>
  </si>
  <si>
    <t>1.(2)</t>
    <phoneticPr fontId="2" type="noConversion"/>
  </si>
  <si>
    <t>9x구젤리+6x육젤리+4x사젤리&gt;=5x(구젤리+육젤리+사젤리)</t>
    <phoneticPr fontId="2" type="noConversion"/>
  </si>
  <si>
    <t>9x구주스+6x육주스+4x사주스&gt;=7x(구주스+육주스+사주스)</t>
    <phoneticPr fontId="2" type="noConversion"/>
  </si>
  <si>
    <t>총판매이익=2.7x(구젤리+육젤리+사젤리)+3.5x(구주스+육주스+사주스)</t>
    <phoneticPr fontId="2" type="noConversion"/>
  </si>
  <si>
    <t>포도젤리</t>
    <phoneticPr fontId="2" type="noConversion"/>
  </si>
  <si>
    <t>포도쥬스</t>
    <phoneticPr fontId="2" type="noConversion"/>
  </si>
  <si>
    <t>판매이익(천원)</t>
    <phoneticPr fontId="2" type="noConversion"/>
  </si>
  <si>
    <t>요구등급</t>
    <phoneticPr fontId="2" type="noConversion"/>
  </si>
  <si>
    <t>모형</t>
    <phoneticPr fontId="2" type="noConversion"/>
  </si>
  <si>
    <t>9등급</t>
    <phoneticPr fontId="2" type="noConversion"/>
  </si>
  <si>
    <t>6등급</t>
    <phoneticPr fontId="2" type="noConversion"/>
  </si>
  <si>
    <t>4등급</t>
    <phoneticPr fontId="2" type="noConversion"/>
  </si>
  <si>
    <t>생산량</t>
    <phoneticPr fontId="2" type="noConversion"/>
  </si>
  <si>
    <t>(1.000Kg단위)</t>
    <phoneticPr fontId="2" type="noConversion"/>
  </si>
  <si>
    <t>포도젤리 혼합량</t>
    <phoneticPr fontId="2" type="noConversion"/>
  </si>
  <si>
    <t>포도쥬스 혼합량</t>
    <phoneticPr fontId="2" type="noConversion"/>
  </si>
  <si>
    <t>등급별 포도사용량</t>
    <phoneticPr fontId="2" type="noConversion"/>
  </si>
  <si>
    <t>&lt;=</t>
    <phoneticPr fontId="2" type="noConversion"/>
  </si>
  <si>
    <t>등급별 포도보유량</t>
    <phoneticPr fontId="2" type="noConversion"/>
  </si>
  <si>
    <t>투입 등급점수</t>
    <phoneticPr fontId="2" type="noConversion"/>
  </si>
  <si>
    <t>기준등급 점수</t>
    <phoneticPr fontId="2" type="noConversion"/>
  </si>
  <si>
    <t>포도젤리 등급제한</t>
    <phoneticPr fontId="2" type="noConversion"/>
  </si>
  <si>
    <t>&gt;=</t>
    <phoneticPr fontId="2" type="noConversion"/>
  </si>
  <si>
    <t>포도쥬스 등급제한</t>
    <phoneticPr fontId="2" type="noConversion"/>
  </si>
  <si>
    <t>(백만원)</t>
    <phoneticPr fontId="2" type="noConversion"/>
  </si>
  <si>
    <t>총 판매이익</t>
    <phoneticPr fontId="2" type="noConversion"/>
  </si>
  <si>
    <t>Microsoft Excel 16.35 민감도 보고서</t>
  </si>
  <si>
    <t>워크시트 이름: [통합 문서1]Sheet1</t>
  </si>
  <si>
    <t>보고서 작성일: 2020. 4. 15. 8:33:00 오후</t>
  </si>
  <si>
    <t>변수 셀</t>
  </si>
  <si>
    <t>셀</t>
  </si>
  <si>
    <t>이름</t>
  </si>
  <si>
    <t>계산</t>
  </si>
  <si>
    <t>값</t>
  </si>
  <si>
    <t>한계</t>
  </si>
  <si>
    <t>비용</t>
  </si>
  <si>
    <t>목표 셀</t>
  </si>
  <si>
    <t>계수</t>
  </si>
  <si>
    <t>허용 가능</t>
  </si>
  <si>
    <t>증가치</t>
  </si>
  <si>
    <t>감소치</t>
  </si>
  <si>
    <t>제한 조건</t>
  </si>
  <si>
    <t>잠재</t>
  </si>
  <si>
    <t>가격</t>
  </si>
  <si>
    <t>우변</t>
  </si>
  <si>
    <t>$B$12</t>
  </si>
  <si>
    <t>포도젤리 혼합량 9등급</t>
  </si>
  <si>
    <t>$C$12</t>
  </si>
  <si>
    <t>포도젤리 혼합량 6등급</t>
  </si>
  <si>
    <t>$D$12</t>
  </si>
  <si>
    <t>포도젤리 혼합량 4등급</t>
  </si>
  <si>
    <t>$B$13</t>
  </si>
  <si>
    <t>포도쥬스 혼합량 9등급</t>
  </si>
  <si>
    <t>$C$13</t>
  </si>
  <si>
    <t>포도쥬스 혼합량 6등급</t>
  </si>
  <si>
    <t>$D$13</t>
  </si>
  <si>
    <t>포도쥬스 혼합량 4등급</t>
  </si>
  <si>
    <t>$B$14</t>
  </si>
  <si>
    <t>등급별 포도사용량 9등급</t>
  </si>
  <si>
    <t>$B$19</t>
  </si>
  <si>
    <t>포도젤리 등급제한 투입 등급점수</t>
  </si>
  <si>
    <t>$B$20</t>
  </si>
  <si>
    <t>포도쥬스 등급제한 투입 등급점수</t>
  </si>
  <si>
    <t>$C$14</t>
  </si>
  <si>
    <t>등급별 포도사용량 6등급</t>
  </si>
  <si>
    <t>$D$14</t>
  </si>
  <si>
    <t>등급별 포도사용량 4등급</t>
  </si>
  <si>
    <t>9등급 포도의 이익 공헌도가 가장 높다</t>
    <phoneticPr fontId="2" type="noConversion"/>
  </si>
  <si>
    <t xml:space="preserve"> 4 9등급 젤리 투입량은 0인데 한계비용이 0이다</t>
    <phoneticPr fontId="2" type="noConversion"/>
  </si>
  <si>
    <t>$E$19</t>
  </si>
  <si>
    <t>&gt;= 생산량</t>
  </si>
  <si>
    <t>$E$20</t>
  </si>
  <si>
    <t>보고서 작성일: 2020. 4. 16. 7:58:45 오전</t>
  </si>
  <si>
    <t>제한조건 우변에 변수셀이 참조된 수식이 들어있으면 solver는 그것을 제한조건 좌변으로 이항하여 좌변-우변&gt;=0 조건식으로 바꾸어서 푼다</t>
  </si>
  <si>
    <t>$B$16</t>
  </si>
  <si>
    <t>등급별 포도보유량 &lt;=</t>
  </si>
  <si>
    <t>$C$16</t>
  </si>
  <si>
    <t>$D$16</t>
  </si>
  <si>
    <t>보고서 작성일: 2020. 4. 16. 8:16:48 오전</t>
  </si>
  <si>
    <t>$D$19</t>
  </si>
  <si>
    <t>&gt;= 기준등급 점수</t>
  </si>
  <si>
    <t>$D$20</t>
  </si>
  <si>
    <t>(1) 생산계획이 바뀌고 판매이익은 동일하며 최적해가 된다</t>
    <phoneticPr fontId="2" type="noConversion"/>
  </si>
  <si>
    <t>(2) 최적해가 달라진다</t>
    <phoneticPr fontId="2" type="noConversion"/>
  </si>
  <si>
    <t>점수차이</t>
    <phoneticPr fontId="2" type="noConversion"/>
  </si>
  <si>
    <t>워크시트 이름: [통합 문서1]실습문제2</t>
  </si>
  <si>
    <t>&gt;= 점수차이</t>
  </si>
  <si>
    <t>(1) 계산값이 0으로 달라진다</t>
    <phoneticPr fontId="2" type="noConversion"/>
  </si>
  <si>
    <t>(2)잠재가격이 절대값을 표시한0.4에서 -0.4로 바뀐다</t>
    <phoneticPr fontId="2" type="noConversion"/>
  </si>
  <si>
    <t>보고서 작성일: 2020. 4. 16. 9:10:38 오전</t>
  </si>
  <si>
    <t>(1)잠재가격이 절대값이 아닌 값을 가진다</t>
    <phoneticPr fontId="2" type="noConversion"/>
  </si>
  <si>
    <t>유실율</t>
    <phoneticPr fontId="2" type="noConversion"/>
  </si>
  <si>
    <t>유실후 생산량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</si>
</sst>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indexed="1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9" fontId="0" fillId="0" borderId="0" xfId="0" applyNumberForma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BB36-757F-3E49-8DC5-E42F9D17120C}">
  <dimension ref="A1:G35"/>
  <sheetViews>
    <sheetView tabSelected="1" workbookViewId="0">
      <selection activeCell="D19" sqref="D19:D20"/>
    </sheetView>
  </sheetViews>
  <sheetFormatPr baseColWidth="10" defaultRowHeight="18"/>
  <cols>
    <col min="1" max="1" width="18.42578125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  <c r="B4">
        <v>9</v>
      </c>
      <c r="C4">
        <v>6</v>
      </c>
      <c r="D4">
        <v>4</v>
      </c>
    </row>
    <row r="6" spans="1:5">
      <c r="B6" t="s">
        <v>10</v>
      </c>
      <c r="C6" t="s">
        <v>11</v>
      </c>
    </row>
    <row r="7" spans="1:5">
      <c r="A7" t="s">
        <v>12</v>
      </c>
      <c r="B7">
        <v>2.7</v>
      </c>
      <c r="C7">
        <v>3.5</v>
      </c>
    </row>
    <row r="8" spans="1:5">
      <c r="A8" t="s">
        <v>13</v>
      </c>
      <c r="B8">
        <v>5</v>
      </c>
      <c r="C8">
        <v>7</v>
      </c>
    </row>
    <row r="10" spans="1:5">
      <c r="A10" t="s">
        <v>14</v>
      </c>
      <c r="E10" t="s">
        <v>19</v>
      </c>
    </row>
    <row r="11" spans="1:5">
      <c r="B11" t="s">
        <v>15</v>
      </c>
      <c r="C11" t="s">
        <v>16</v>
      </c>
      <c r="D11" t="s">
        <v>17</v>
      </c>
      <c r="E11" t="s">
        <v>18</v>
      </c>
    </row>
    <row r="12" spans="1:5">
      <c r="A12" t="s">
        <v>20</v>
      </c>
      <c r="B12" s="7">
        <v>0</v>
      </c>
      <c r="C12" s="8">
        <v>40</v>
      </c>
      <c r="D12" s="9">
        <v>40</v>
      </c>
      <c r="E12">
        <f>SUM(B12:D12)</f>
        <v>80</v>
      </c>
    </row>
    <row r="13" spans="1:5">
      <c r="A13" t="s">
        <v>21</v>
      </c>
      <c r="B13" s="10">
        <v>40</v>
      </c>
      <c r="C13" s="11">
        <v>20</v>
      </c>
      <c r="D13" s="12">
        <v>20</v>
      </c>
      <c r="E13">
        <f>SUM(B13:D13)</f>
        <v>80</v>
      </c>
    </row>
    <row r="14" spans="1:5">
      <c r="A14" t="s">
        <v>22</v>
      </c>
      <c r="B14">
        <f>B12+B13</f>
        <v>40</v>
      </c>
      <c r="C14">
        <f t="shared" ref="C14:D14" si="0">C12+C13</f>
        <v>60</v>
      </c>
      <c r="D14">
        <f t="shared" si="0"/>
        <v>60</v>
      </c>
    </row>
    <row r="15" spans="1:5">
      <c r="A15" t="s">
        <v>19</v>
      </c>
      <c r="B15" t="s">
        <v>23</v>
      </c>
      <c r="C15" t="s">
        <v>23</v>
      </c>
      <c r="D15" t="s">
        <v>23</v>
      </c>
    </row>
    <row r="16" spans="1:5">
      <c r="A16" t="s">
        <v>24</v>
      </c>
      <c r="B16">
        <v>40</v>
      </c>
      <c r="C16">
        <v>60</v>
      </c>
      <c r="D16">
        <v>60</v>
      </c>
    </row>
    <row r="18" spans="1:7">
      <c r="B18" t="s">
        <v>25</v>
      </c>
      <c r="D18" t="s">
        <v>26</v>
      </c>
    </row>
    <row r="19" spans="1:7">
      <c r="A19" t="s">
        <v>27</v>
      </c>
      <c r="B19" s="13">
        <f>SUMPRODUCT(B$4:D$4,B12:D12)</f>
        <v>400</v>
      </c>
      <c r="C19" t="s">
        <v>28</v>
      </c>
      <c r="D19" s="13">
        <f>B8*E12</f>
        <v>400</v>
      </c>
      <c r="E19">
        <f>B19-D19</f>
        <v>0</v>
      </c>
      <c r="F19" t="s">
        <v>28</v>
      </c>
      <c r="G19">
        <v>0</v>
      </c>
    </row>
    <row r="20" spans="1:7">
      <c r="A20" t="s">
        <v>29</v>
      </c>
      <c r="B20" s="14">
        <f>SUMPRODUCT(B$4:D$4,B13:D13)</f>
        <v>560</v>
      </c>
      <c r="C20" t="s">
        <v>28</v>
      </c>
      <c r="D20" s="14">
        <f>C8*E13</f>
        <v>560</v>
      </c>
      <c r="E20">
        <f>B20-D20</f>
        <v>0</v>
      </c>
      <c r="F20" t="s">
        <v>28</v>
      </c>
      <c r="G20">
        <v>0</v>
      </c>
    </row>
    <row r="21" spans="1:7">
      <c r="B21" t="s">
        <v>30</v>
      </c>
    </row>
    <row r="22" spans="1:7">
      <c r="A22" t="s">
        <v>31</v>
      </c>
      <c r="B22">
        <f>B7*E12+C7*E13</f>
        <v>496</v>
      </c>
    </row>
    <row r="28" spans="1:7">
      <c r="A28" t="s">
        <v>3</v>
      </c>
      <c r="B28" t="s">
        <v>4</v>
      </c>
    </row>
    <row r="29" spans="1:7">
      <c r="B29" t="s">
        <v>5</v>
      </c>
    </row>
    <row r="31" spans="1:7">
      <c r="A31" t="s">
        <v>6</v>
      </c>
      <c r="B31" t="s">
        <v>7</v>
      </c>
    </row>
    <row r="32" spans="1:7">
      <c r="B32" t="s">
        <v>8</v>
      </c>
    </row>
    <row r="33" spans="1:2">
      <c r="B33" t="s">
        <v>9</v>
      </c>
    </row>
    <row r="35" spans="1:2">
      <c r="A35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4151-1759-2B44-8F09-9D2BB857724F}">
  <dimension ref="A1:H29"/>
  <sheetViews>
    <sheetView showGridLines="0" topLeftCell="A10" workbookViewId="0">
      <selection activeCell="B31" sqref="B31"/>
    </sheetView>
  </sheetViews>
  <sheetFormatPr baseColWidth="10" defaultRowHeight="18"/>
  <cols>
    <col min="1" max="1" width="2.28515625" customWidth="1"/>
    <col min="2" max="2" width="7" bestFit="1" customWidth="1"/>
    <col min="3" max="3" width="29.140625" bestFit="1" customWidth="1"/>
    <col min="4" max="4" width="5.140625" bestFit="1" customWidth="1"/>
    <col min="5" max="5" width="5.42578125" bestFit="1" customWidth="1"/>
    <col min="6" max="6" width="9.140625" bestFit="1" customWidth="1"/>
    <col min="7" max="8" width="12.7109375" bestFit="1" customWidth="1"/>
  </cols>
  <sheetData>
    <row r="1" spans="1:8">
      <c r="A1" s="1" t="s">
        <v>32</v>
      </c>
    </row>
    <row r="2" spans="1:8">
      <c r="A2" s="1" t="s">
        <v>33</v>
      </c>
    </row>
    <row r="3" spans="1:8">
      <c r="A3" s="1" t="s">
        <v>34</v>
      </c>
    </row>
    <row r="6" spans="1:8" ht="19" thickBot="1">
      <c r="A6" t="s">
        <v>35</v>
      </c>
    </row>
    <row r="7" spans="1:8">
      <c r="B7" s="4"/>
      <c r="C7" s="4"/>
      <c r="D7" s="4" t="s">
        <v>38</v>
      </c>
      <c r="E7" s="4" t="s">
        <v>40</v>
      </c>
      <c r="F7" s="4" t="s">
        <v>42</v>
      </c>
      <c r="G7" s="4" t="s">
        <v>44</v>
      </c>
      <c r="H7" s="4" t="s">
        <v>44</v>
      </c>
    </row>
    <row r="8" spans="1:8" ht="19" thickBot="1">
      <c r="B8" s="5" t="s">
        <v>36</v>
      </c>
      <c r="C8" s="5" t="s">
        <v>37</v>
      </c>
      <c r="D8" s="5" t="s">
        <v>39</v>
      </c>
      <c r="E8" s="5" t="s">
        <v>41</v>
      </c>
      <c r="F8" s="5" t="s">
        <v>43</v>
      </c>
      <c r="G8" s="5" t="s">
        <v>45</v>
      </c>
      <c r="H8" s="5" t="s">
        <v>46</v>
      </c>
    </row>
    <row r="9" spans="1:8">
      <c r="B9" s="2" t="s">
        <v>51</v>
      </c>
      <c r="C9" s="2" t="s">
        <v>52</v>
      </c>
      <c r="D9" s="2">
        <v>0</v>
      </c>
      <c r="E9" s="2">
        <v>0</v>
      </c>
      <c r="F9" s="2">
        <v>2.7</v>
      </c>
      <c r="G9" s="2">
        <v>0</v>
      </c>
      <c r="H9" s="2">
        <v>1E+30</v>
      </c>
    </row>
    <row r="10" spans="1:8">
      <c r="B10" s="2" t="s">
        <v>53</v>
      </c>
      <c r="C10" s="2" t="s">
        <v>54</v>
      </c>
      <c r="D10" s="2">
        <v>40</v>
      </c>
      <c r="E10" s="2">
        <v>0</v>
      </c>
      <c r="F10" s="2">
        <v>2.7</v>
      </c>
      <c r="G10" s="2">
        <v>0.53333333333333366</v>
      </c>
      <c r="H10" s="2">
        <v>0</v>
      </c>
    </row>
    <row r="11" spans="1:8">
      <c r="B11" s="2" t="s">
        <v>55</v>
      </c>
      <c r="C11" s="2" t="s">
        <v>56</v>
      </c>
      <c r="D11" s="2">
        <v>40</v>
      </c>
      <c r="E11" s="2">
        <v>0</v>
      </c>
      <c r="F11" s="2">
        <v>2.7000000000000011</v>
      </c>
      <c r="G11" s="2">
        <v>0</v>
      </c>
      <c r="H11" s="2">
        <v>1.600000000000001</v>
      </c>
    </row>
    <row r="12" spans="1:8">
      <c r="B12" s="2" t="s">
        <v>57</v>
      </c>
      <c r="C12" s="2" t="s">
        <v>58</v>
      </c>
      <c r="D12" s="2">
        <v>40</v>
      </c>
      <c r="E12" s="2">
        <v>0</v>
      </c>
      <c r="F12" s="2">
        <v>3.5</v>
      </c>
      <c r="G12" s="2">
        <v>1E+30</v>
      </c>
      <c r="H12" s="2">
        <v>0</v>
      </c>
    </row>
    <row r="13" spans="1:8">
      <c r="B13" s="2" t="s">
        <v>59</v>
      </c>
      <c r="C13" s="2" t="s">
        <v>60</v>
      </c>
      <c r="D13" s="2">
        <v>20</v>
      </c>
      <c r="E13" s="2">
        <v>0</v>
      </c>
      <c r="F13" s="2">
        <v>3.5</v>
      </c>
      <c r="G13" s="2">
        <v>0</v>
      </c>
      <c r="H13" s="2">
        <v>0.53333333333333366</v>
      </c>
    </row>
    <row r="14" spans="1:8" ht="19" thickBot="1">
      <c r="B14" s="3" t="s">
        <v>61</v>
      </c>
      <c r="C14" s="3" t="s">
        <v>62</v>
      </c>
      <c r="D14" s="3">
        <v>20</v>
      </c>
      <c r="E14" s="3">
        <v>0</v>
      </c>
      <c r="F14" s="3">
        <v>3.5</v>
      </c>
      <c r="G14" s="3">
        <v>1.600000000000001</v>
      </c>
      <c r="H14" s="3">
        <v>0</v>
      </c>
    </row>
    <row r="16" spans="1:8" ht="19" thickBot="1">
      <c r="A16" t="s">
        <v>47</v>
      </c>
    </row>
    <row r="17" spans="2:8">
      <c r="B17" s="4"/>
      <c r="C17" s="4"/>
      <c r="D17" s="4" t="s">
        <v>38</v>
      </c>
      <c r="E17" s="4" t="s">
        <v>48</v>
      </c>
      <c r="F17" s="4" t="s">
        <v>47</v>
      </c>
      <c r="G17" s="4" t="s">
        <v>44</v>
      </c>
      <c r="H17" s="4" t="s">
        <v>44</v>
      </c>
    </row>
    <row r="18" spans="2:8" ht="19" thickBot="1">
      <c r="B18" s="5" t="s">
        <v>36</v>
      </c>
      <c r="C18" s="5" t="s">
        <v>37</v>
      </c>
      <c r="D18" s="5" t="s">
        <v>39</v>
      </c>
      <c r="E18" s="5" t="s">
        <v>49</v>
      </c>
      <c r="F18" s="5" t="s">
        <v>50</v>
      </c>
      <c r="G18" s="5" t="s">
        <v>45</v>
      </c>
      <c r="H18" s="5" t="s">
        <v>46</v>
      </c>
    </row>
    <row r="19" spans="2:8">
      <c r="B19" s="2" t="s">
        <v>63</v>
      </c>
      <c r="C19" s="2" t="s">
        <v>64</v>
      </c>
      <c r="D19" s="2">
        <v>40</v>
      </c>
      <c r="E19" s="2">
        <v>4.2999999999999989</v>
      </c>
      <c r="F19" s="2">
        <v>40</v>
      </c>
      <c r="G19" s="2">
        <v>80</v>
      </c>
      <c r="H19" s="2">
        <v>40</v>
      </c>
    </row>
    <row r="20" spans="2:8">
      <c r="B20" s="2" t="s">
        <v>65</v>
      </c>
      <c r="C20" s="2" t="s">
        <v>66</v>
      </c>
      <c r="D20" s="2">
        <v>400</v>
      </c>
      <c r="E20" s="2">
        <v>-0.40000000000000024</v>
      </c>
      <c r="F20" s="2">
        <v>0</v>
      </c>
      <c r="G20" s="2">
        <v>26.666666666666668</v>
      </c>
      <c r="H20" s="2">
        <v>53.333333333333336</v>
      </c>
    </row>
    <row r="21" spans="2:8">
      <c r="B21" s="2" t="s">
        <v>67</v>
      </c>
      <c r="C21" s="2" t="s">
        <v>68</v>
      </c>
      <c r="D21" s="2">
        <v>560</v>
      </c>
      <c r="E21" s="2">
        <v>-0.39999999999999958</v>
      </c>
      <c r="F21" s="2">
        <v>0</v>
      </c>
      <c r="G21" s="2">
        <v>80</v>
      </c>
      <c r="H21" s="2">
        <v>160</v>
      </c>
    </row>
    <row r="22" spans="2:8">
      <c r="B22" s="2" t="s">
        <v>69</v>
      </c>
      <c r="C22" s="2" t="s">
        <v>70</v>
      </c>
      <c r="D22" s="2">
        <v>60</v>
      </c>
      <c r="E22" s="2">
        <v>3.1000000000000005</v>
      </c>
      <c r="F22" s="2">
        <v>60</v>
      </c>
      <c r="G22" s="2">
        <v>80</v>
      </c>
      <c r="H22" s="2">
        <v>26.666666666666668</v>
      </c>
    </row>
    <row r="23" spans="2:8" ht="19" thickBot="1">
      <c r="B23" s="3" t="s">
        <v>71</v>
      </c>
      <c r="C23" s="3" t="s">
        <v>72</v>
      </c>
      <c r="D23" s="3">
        <v>60</v>
      </c>
      <c r="E23" s="3">
        <v>2.3000000000000007</v>
      </c>
      <c r="F23" s="3">
        <v>60</v>
      </c>
      <c r="G23" s="3">
        <v>26.666666666666668</v>
      </c>
      <c r="H23" s="3">
        <v>53.333333333333336</v>
      </c>
    </row>
    <row r="27" spans="2:8">
      <c r="B27">
        <v>3</v>
      </c>
      <c r="C27" t="s">
        <v>73</v>
      </c>
    </row>
    <row r="29" spans="2:8">
      <c r="C29" t="s">
        <v>74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5FB7-B7F0-6847-AF94-FB3FBA66C0DF}">
  <dimension ref="A1:H30"/>
  <sheetViews>
    <sheetView showGridLines="0" topLeftCell="A17" workbookViewId="0">
      <selection activeCell="C31" sqref="C31"/>
    </sheetView>
  </sheetViews>
  <sheetFormatPr baseColWidth="10" defaultRowHeight="18"/>
  <cols>
    <col min="1" max="1" width="2.28515625" customWidth="1"/>
    <col min="2" max="2" width="7" bestFit="1" customWidth="1"/>
    <col min="3" max="3" width="20" bestFit="1" customWidth="1"/>
    <col min="4" max="4" width="12.7109375" bestFit="1" customWidth="1"/>
    <col min="5" max="5" width="13.5703125" bestFit="1" customWidth="1"/>
    <col min="6" max="6" width="9.140625" bestFit="1" customWidth="1"/>
    <col min="7" max="8" width="12.7109375" bestFit="1" customWidth="1"/>
  </cols>
  <sheetData>
    <row r="1" spans="1:8">
      <c r="A1" s="1" t="s">
        <v>32</v>
      </c>
    </row>
    <row r="2" spans="1:8">
      <c r="A2" s="1" t="s">
        <v>33</v>
      </c>
    </row>
    <row r="3" spans="1:8">
      <c r="A3" s="1" t="s">
        <v>84</v>
      </c>
    </row>
    <row r="6" spans="1:8" ht="19" thickBot="1">
      <c r="A6" t="s">
        <v>35</v>
      </c>
    </row>
    <row r="7" spans="1:8">
      <c r="B7" s="4"/>
      <c r="C7" s="4"/>
      <c r="D7" s="4" t="s">
        <v>38</v>
      </c>
      <c r="E7" s="4" t="s">
        <v>40</v>
      </c>
      <c r="F7" s="4" t="s">
        <v>42</v>
      </c>
      <c r="G7" s="4" t="s">
        <v>44</v>
      </c>
      <c r="H7" s="4" t="s">
        <v>44</v>
      </c>
    </row>
    <row r="8" spans="1:8" ht="19" thickBot="1">
      <c r="B8" s="5" t="s">
        <v>36</v>
      </c>
      <c r="C8" s="5" t="s">
        <v>37</v>
      </c>
      <c r="D8" s="5" t="s">
        <v>39</v>
      </c>
      <c r="E8" s="5" t="s">
        <v>41</v>
      </c>
      <c r="F8" s="5" t="s">
        <v>43</v>
      </c>
      <c r="G8" s="5" t="s">
        <v>45</v>
      </c>
      <c r="H8" s="5" t="s">
        <v>46</v>
      </c>
    </row>
    <row r="9" spans="1:8">
      <c r="B9" s="2" t="s">
        <v>51</v>
      </c>
      <c r="C9" s="2" t="s">
        <v>52</v>
      </c>
      <c r="D9" s="2">
        <v>13.333333333333332</v>
      </c>
      <c r="E9" s="2">
        <v>0</v>
      </c>
      <c r="F9" s="2">
        <v>2.7</v>
      </c>
      <c r="G9" s="2">
        <v>2.3999999999999995</v>
      </c>
      <c r="H9" s="2">
        <v>2.6645352591003753E-15</v>
      </c>
    </row>
    <row r="10" spans="1:8">
      <c r="B10" s="2" t="s">
        <v>53</v>
      </c>
      <c r="C10" s="2" t="s">
        <v>54</v>
      </c>
      <c r="D10" s="2">
        <v>6.6666666666666661</v>
      </c>
      <c r="E10" s="2">
        <v>0</v>
      </c>
      <c r="F10" s="2">
        <v>2.7</v>
      </c>
      <c r="G10" s="2">
        <v>1.0658141036401504E-15</v>
      </c>
      <c r="H10" s="2">
        <v>4.6500000000000004</v>
      </c>
    </row>
    <row r="11" spans="1:8">
      <c r="B11" s="2" t="s">
        <v>55</v>
      </c>
      <c r="C11" s="2" t="s">
        <v>56</v>
      </c>
      <c r="D11" s="2">
        <v>60</v>
      </c>
      <c r="E11" s="2">
        <v>0</v>
      </c>
      <c r="F11" s="2">
        <v>2.7000000000000011</v>
      </c>
      <c r="G11" s="2">
        <v>1E+30</v>
      </c>
      <c r="H11" s="2">
        <v>1.7763568394002505E-15</v>
      </c>
    </row>
    <row r="12" spans="1:8">
      <c r="B12" s="2" t="s">
        <v>57</v>
      </c>
      <c r="C12" s="2" t="s">
        <v>58</v>
      </c>
      <c r="D12" s="2">
        <v>26.666666666666668</v>
      </c>
      <c r="E12" s="2">
        <v>0</v>
      </c>
      <c r="F12" s="2">
        <v>3.5</v>
      </c>
      <c r="G12" s="2">
        <v>2.6645352591003753E-15</v>
      </c>
      <c r="H12" s="2">
        <v>2.3999999999999995</v>
      </c>
    </row>
    <row r="13" spans="1:8">
      <c r="B13" s="2" t="s">
        <v>59</v>
      </c>
      <c r="C13" s="2" t="s">
        <v>60</v>
      </c>
      <c r="D13" s="2">
        <v>53.333333333333336</v>
      </c>
      <c r="E13" s="2">
        <v>0</v>
      </c>
      <c r="F13" s="2">
        <v>3.5</v>
      </c>
      <c r="G13" s="2">
        <v>6.9000000000000039</v>
      </c>
      <c r="H13" s="2">
        <v>1.0658141036401504E-15</v>
      </c>
    </row>
    <row r="14" spans="1:8" ht="19" thickBot="1">
      <c r="B14" s="3" t="s">
        <v>61</v>
      </c>
      <c r="C14" s="3" t="s">
        <v>62</v>
      </c>
      <c r="D14" s="3">
        <v>0</v>
      </c>
      <c r="E14" s="3">
        <v>-1.7763568394002505E-15</v>
      </c>
      <c r="F14" s="3">
        <v>3.5</v>
      </c>
      <c r="G14" s="3">
        <v>1.7763568394002505E-15</v>
      </c>
      <c r="H14" s="3">
        <v>1E+30</v>
      </c>
    </row>
    <row r="16" spans="1:8" ht="19" thickBot="1">
      <c r="A16" t="s">
        <v>47</v>
      </c>
    </row>
    <row r="17" spans="2:8">
      <c r="B17" s="4"/>
      <c r="C17" s="4"/>
      <c r="D17" s="4" t="s">
        <v>38</v>
      </c>
      <c r="E17" s="4" t="s">
        <v>48</v>
      </c>
      <c r="F17" s="4" t="s">
        <v>47</v>
      </c>
      <c r="G17" s="4" t="s">
        <v>44</v>
      </c>
      <c r="H17" s="4" t="s">
        <v>44</v>
      </c>
    </row>
    <row r="18" spans="2:8" ht="19" thickBot="1">
      <c r="B18" s="5" t="s">
        <v>36</v>
      </c>
      <c r="C18" s="5" t="s">
        <v>37</v>
      </c>
      <c r="D18" s="5" t="s">
        <v>39</v>
      </c>
      <c r="E18" s="5" t="s">
        <v>49</v>
      </c>
      <c r="F18" s="5" t="s">
        <v>50</v>
      </c>
      <c r="G18" s="5" t="s">
        <v>45</v>
      </c>
      <c r="H18" s="5" t="s">
        <v>46</v>
      </c>
    </row>
    <row r="19" spans="2:8">
      <c r="B19" s="2" t="s">
        <v>80</v>
      </c>
      <c r="C19" s="2" t="s">
        <v>81</v>
      </c>
      <c r="D19" s="2">
        <v>40</v>
      </c>
      <c r="E19" s="2">
        <v>-4.2999999999999989</v>
      </c>
      <c r="F19" s="2">
        <v>0</v>
      </c>
      <c r="G19" s="2">
        <v>39.999999999999993</v>
      </c>
      <c r="H19" s="2">
        <v>5</v>
      </c>
    </row>
    <row r="20" spans="2:8">
      <c r="B20" s="2" t="s">
        <v>82</v>
      </c>
      <c r="C20" s="2" t="s">
        <v>81</v>
      </c>
      <c r="D20" s="2">
        <v>60</v>
      </c>
      <c r="E20" s="2">
        <v>-3.1</v>
      </c>
      <c r="F20" s="2">
        <v>0</v>
      </c>
      <c r="G20" s="2">
        <v>10</v>
      </c>
      <c r="H20" s="2">
        <v>79.999999999999986</v>
      </c>
    </row>
    <row r="21" spans="2:8">
      <c r="B21" s="2" t="s">
        <v>83</v>
      </c>
      <c r="C21" s="2" t="s">
        <v>81</v>
      </c>
      <c r="D21" s="2">
        <v>60</v>
      </c>
      <c r="E21" s="2">
        <v>-2.3000000000000012</v>
      </c>
      <c r="F21" s="2">
        <v>0</v>
      </c>
      <c r="G21" s="2">
        <v>20</v>
      </c>
      <c r="H21" s="2">
        <v>160.00000000000003</v>
      </c>
    </row>
    <row r="22" spans="2:8">
      <c r="B22" s="2" t="s">
        <v>85</v>
      </c>
      <c r="C22" s="2" t="s">
        <v>86</v>
      </c>
      <c r="D22" s="2">
        <v>400</v>
      </c>
      <c r="E22" s="2">
        <v>0.39999999999999991</v>
      </c>
      <c r="F22" s="2">
        <v>0</v>
      </c>
      <c r="G22" s="2">
        <v>20</v>
      </c>
      <c r="H22" s="2">
        <v>160.00000000000003</v>
      </c>
    </row>
    <row r="23" spans="2:8" ht="19" thickBot="1">
      <c r="B23" s="3" t="s">
        <v>87</v>
      </c>
      <c r="C23" s="3" t="s">
        <v>86</v>
      </c>
      <c r="D23" s="3">
        <v>560</v>
      </c>
      <c r="E23" s="3">
        <v>0.39999999999999947</v>
      </c>
      <c r="F23" s="3">
        <v>0</v>
      </c>
      <c r="G23" s="3">
        <v>10</v>
      </c>
      <c r="H23" s="3">
        <v>79.999999999999986</v>
      </c>
    </row>
    <row r="29" spans="2:8">
      <c r="B29">
        <v>5</v>
      </c>
      <c r="C29" t="s">
        <v>88</v>
      </c>
    </row>
    <row r="30" spans="2:8">
      <c r="C30" t="s">
        <v>89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5CE0-BA04-AB43-B659-91FBEF7E94D4}">
  <dimension ref="A1:G35"/>
  <sheetViews>
    <sheetView topLeftCell="A8" workbookViewId="0">
      <selection activeCell="B22" sqref="B22"/>
    </sheetView>
  </sheetViews>
  <sheetFormatPr baseColWidth="10" defaultRowHeight="18"/>
  <cols>
    <col min="1" max="1" width="18.42578125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  <c r="B4">
        <v>9</v>
      </c>
      <c r="C4">
        <v>6</v>
      </c>
      <c r="D4">
        <v>4</v>
      </c>
    </row>
    <row r="6" spans="1:5">
      <c r="B6" t="s">
        <v>10</v>
      </c>
      <c r="C6" t="s">
        <v>11</v>
      </c>
    </row>
    <row r="7" spans="1:5">
      <c r="A7" t="s">
        <v>12</v>
      </c>
      <c r="B7">
        <v>2.7</v>
      </c>
      <c r="C7">
        <v>3.5</v>
      </c>
    </row>
    <row r="8" spans="1:5">
      <c r="A8" t="s">
        <v>13</v>
      </c>
      <c r="B8">
        <v>5</v>
      </c>
      <c r="C8">
        <v>7</v>
      </c>
    </row>
    <row r="10" spans="1:5">
      <c r="A10" t="s">
        <v>14</v>
      </c>
      <c r="E10" t="s">
        <v>19</v>
      </c>
    </row>
    <row r="11" spans="1:5">
      <c r="B11" t="s">
        <v>15</v>
      </c>
      <c r="C11" t="s">
        <v>16</v>
      </c>
      <c r="D11" t="s">
        <v>17</v>
      </c>
      <c r="E11" t="s">
        <v>18</v>
      </c>
    </row>
    <row r="12" spans="1:5">
      <c r="A12" t="s">
        <v>20</v>
      </c>
      <c r="B12">
        <v>13.333333333333332</v>
      </c>
      <c r="C12">
        <v>6.6666666666666661</v>
      </c>
      <c r="D12">
        <v>60</v>
      </c>
      <c r="E12">
        <f>SUM(B12:D12)</f>
        <v>80</v>
      </c>
    </row>
    <row r="13" spans="1:5">
      <c r="A13" t="s">
        <v>21</v>
      </c>
      <c r="B13">
        <v>26.666666666666668</v>
      </c>
      <c r="C13">
        <v>53.333333333333336</v>
      </c>
      <c r="D13">
        <v>0</v>
      </c>
      <c r="E13">
        <f>SUM(B13:D13)</f>
        <v>80</v>
      </c>
    </row>
    <row r="14" spans="1:5">
      <c r="A14" t="s">
        <v>22</v>
      </c>
      <c r="B14">
        <f>B12+B13</f>
        <v>40</v>
      </c>
      <c r="C14">
        <f t="shared" ref="C14:D14" si="0">C12+C13</f>
        <v>60</v>
      </c>
      <c r="D14">
        <f t="shared" si="0"/>
        <v>60</v>
      </c>
    </row>
    <row r="15" spans="1:5">
      <c r="A15" t="s">
        <v>19</v>
      </c>
      <c r="B15" t="s">
        <v>23</v>
      </c>
      <c r="C15" t="s">
        <v>23</v>
      </c>
      <c r="D15" t="s">
        <v>23</v>
      </c>
    </row>
    <row r="16" spans="1:5">
      <c r="A16" t="s">
        <v>24</v>
      </c>
      <c r="B16">
        <v>40</v>
      </c>
      <c r="C16">
        <v>60</v>
      </c>
      <c r="D16">
        <v>60</v>
      </c>
    </row>
    <row r="18" spans="1:7">
      <c r="B18" t="s">
        <v>25</v>
      </c>
      <c r="D18" t="s">
        <v>26</v>
      </c>
    </row>
    <row r="19" spans="1:7">
      <c r="A19" t="s">
        <v>27</v>
      </c>
      <c r="B19">
        <f>SUMPRODUCT(B$4:D$4,B12:D12)</f>
        <v>400</v>
      </c>
      <c r="C19" t="s">
        <v>28</v>
      </c>
      <c r="D19">
        <f>B8*E12</f>
        <v>400</v>
      </c>
      <c r="E19">
        <f>B19-D19</f>
        <v>0</v>
      </c>
      <c r="F19" t="s">
        <v>28</v>
      </c>
      <c r="G19">
        <v>0</v>
      </c>
    </row>
    <row r="20" spans="1:7">
      <c r="A20" t="s">
        <v>29</v>
      </c>
      <c r="B20">
        <f>SUMPRODUCT(B$4:D$4,B13:D13)</f>
        <v>560</v>
      </c>
      <c r="C20" t="s">
        <v>28</v>
      </c>
      <c r="D20">
        <f>C8*E13</f>
        <v>560</v>
      </c>
      <c r="E20">
        <f>B20-D20</f>
        <v>0</v>
      </c>
      <c r="F20" t="s">
        <v>28</v>
      </c>
      <c r="G20">
        <v>0</v>
      </c>
    </row>
    <row r="21" spans="1:7">
      <c r="B21" t="s">
        <v>30</v>
      </c>
    </row>
    <row r="22" spans="1:7">
      <c r="A22" t="s">
        <v>31</v>
      </c>
      <c r="B22">
        <f>B7*E12+C7*E13</f>
        <v>496</v>
      </c>
    </row>
    <row r="28" spans="1:7">
      <c r="A28" t="s">
        <v>3</v>
      </c>
      <c r="B28" t="s">
        <v>4</v>
      </c>
    </row>
    <row r="29" spans="1:7">
      <c r="B29" t="s">
        <v>5</v>
      </c>
    </row>
    <row r="31" spans="1:7">
      <c r="A31" t="s">
        <v>6</v>
      </c>
      <c r="B31" t="s">
        <v>7</v>
      </c>
    </row>
    <row r="32" spans="1:7">
      <c r="B32" t="s">
        <v>8</v>
      </c>
    </row>
    <row r="33" spans="1:2">
      <c r="B33" t="s">
        <v>9</v>
      </c>
    </row>
    <row r="35" spans="1:2">
      <c r="A35">
        <v>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6A41-07D7-CA4E-8BB1-8E5B68891B22}">
  <dimension ref="A1:G22"/>
  <sheetViews>
    <sheetView workbookViewId="0">
      <selection activeCell="D26" sqref="D26"/>
    </sheetView>
  </sheetViews>
  <sheetFormatPr baseColWidth="10" defaultRowHeight="18"/>
  <cols>
    <col min="1" max="1" width="18.42578125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  <c r="B4">
        <v>9</v>
      </c>
      <c r="C4">
        <v>6</v>
      </c>
      <c r="D4">
        <v>4</v>
      </c>
    </row>
    <row r="6" spans="1:5">
      <c r="B6" t="s">
        <v>10</v>
      </c>
      <c r="C6" t="s">
        <v>11</v>
      </c>
    </row>
    <row r="7" spans="1:5">
      <c r="A7" t="s">
        <v>12</v>
      </c>
      <c r="B7">
        <v>2.7</v>
      </c>
      <c r="C7">
        <v>3.5</v>
      </c>
    </row>
    <row r="8" spans="1:5">
      <c r="A8" t="s">
        <v>13</v>
      </c>
      <c r="B8">
        <v>5</v>
      </c>
      <c r="C8">
        <v>7</v>
      </c>
    </row>
    <row r="10" spans="1:5">
      <c r="A10" t="s">
        <v>14</v>
      </c>
      <c r="E10" t="s">
        <v>19</v>
      </c>
    </row>
    <row r="11" spans="1:5">
      <c r="B11" t="s">
        <v>15</v>
      </c>
      <c r="C11" t="s">
        <v>16</v>
      </c>
      <c r="D11" t="s">
        <v>17</v>
      </c>
      <c r="E11" t="s">
        <v>18</v>
      </c>
    </row>
    <row r="12" spans="1:5">
      <c r="A12" t="s">
        <v>20</v>
      </c>
      <c r="B12">
        <v>0</v>
      </c>
      <c r="C12">
        <v>40</v>
      </c>
      <c r="D12">
        <v>40</v>
      </c>
      <c r="E12">
        <f>SUM(B12:D12)</f>
        <v>80</v>
      </c>
    </row>
    <row r="13" spans="1:5">
      <c r="A13" t="s">
        <v>21</v>
      </c>
      <c r="B13">
        <v>40</v>
      </c>
      <c r="C13">
        <v>20</v>
      </c>
      <c r="D13">
        <v>20</v>
      </c>
      <c r="E13">
        <f>SUM(B13:D13)</f>
        <v>80</v>
      </c>
    </row>
    <row r="14" spans="1:5">
      <c r="A14" t="s">
        <v>22</v>
      </c>
      <c r="B14">
        <f>B12+B13</f>
        <v>40</v>
      </c>
      <c r="C14">
        <f t="shared" ref="C14:D14" si="0">C12+C13</f>
        <v>60</v>
      </c>
      <c r="D14">
        <f t="shared" si="0"/>
        <v>60</v>
      </c>
    </row>
    <row r="15" spans="1:5">
      <c r="A15" t="s">
        <v>19</v>
      </c>
      <c r="B15" t="s">
        <v>23</v>
      </c>
      <c r="C15" t="s">
        <v>23</v>
      </c>
      <c r="D15" t="s">
        <v>23</v>
      </c>
    </row>
    <row r="16" spans="1:5">
      <c r="A16" t="s">
        <v>24</v>
      </c>
      <c r="B16">
        <v>40</v>
      </c>
      <c r="C16">
        <v>60</v>
      </c>
      <c r="D16">
        <v>60</v>
      </c>
    </row>
    <row r="18" spans="1:7">
      <c r="B18" t="s">
        <v>25</v>
      </c>
      <c r="D18" t="s">
        <v>26</v>
      </c>
      <c r="E18" t="s">
        <v>90</v>
      </c>
    </row>
    <row r="19" spans="1:7">
      <c r="A19" t="s">
        <v>27</v>
      </c>
      <c r="B19">
        <f>SUMPRODUCT(B$4:D$4,B12:D12)</f>
        <v>400</v>
      </c>
      <c r="C19" t="s">
        <v>28</v>
      </c>
      <c r="D19">
        <f>B8*E12</f>
        <v>400</v>
      </c>
      <c r="E19">
        <f>B19-D19</f>
        <v>0</v>
      </c>
      <c r="F19" t="s">
        <v>28</v>
      </c>
      <c r="G19">
        <v>0</v>
      </c>
    </row>
    <row r="20" spans="1:7">
      <c r="A20" t="s">
        <v>29</v>
      </c>
      <c r="B20">
        <f>SUMPRODUCT(B$4:D$4,B13:D13)</f>
        <v>560</v>
      </c>
      <c r="C20" t="s">
        <v>28</v>
      </c>
      <c r="D20">
        <f>C8*E13</f>
        <v>560</v>
      </c>
      <c r="E20">
        <f>B20-D20</f>
        <v>0</v>
      </c>
      <c r="F20" t="s">
        <v>28</v>
      </c>
      <c r="G20">
        <v>0</v>
      </c>
    </row>
    <row r="21" spans="1:7">
      <c r="B21" t="s">
        <v>30</v>
      </c>
    </row>
    <row r="22" spans="1:7">
      <c r="A22" t="s">
        <v>31</v>
      </c>
      <c r="B22">
        <f>B7*E12+C7*E13</f>
        <v>496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33BA-C855-E34F-8C79-CC001D3350BD}">
  <dimension ref="A1:H32"/>
  <sheetViews>
    <sheetView showGridLines="0" topLeftCell="A4" workbookViewId="0">
      <selection activeCell="B32" sqref="B32"/>
    </sheetView>
  </sheetViews>
  <sheetFormatPr baseColWidth="10" defaultRowHeight="18"/>
  <cols>
    <col min="1" max="1" width="2.28515625" customWidth="1"/>
    <col min="2" max="2" width="7" bestFit="1" customWidth="1"/>
    <col min="3" max="3" width="21.85546875" bestFit="1" customWidth="1"/>
    <col min="4" max="4" width="5.140625" bestFit="1" customWidth="1"/>
    <col min="5" max="5" width="5.42578125" bestFit="1" customWidth="1"/>
    <col min="6" max="6" width="9.140625" bestFit="1" customWidth="1"/>
    <col min="7" max="8" width="12.7109375" bestFit="1" customWidth="1"/>
  </cols>
  <sheetData>
    <row r="1" spans="1:8">
      <c r="A1" s="1" t="s">
        <v>32</v>
      </c>
    </row>
    <row r="2" spans="1:8">
      <c r="A2" s="1" t="s">
        <v>33</v>
      </c>
    </row>
    <row r="3" spans="1:8">
      <c r="A3" s="1" t="s">
        <v>78</v>
      </c>
    </row>
    <row r="6" spans="1:8" ht="19" thickBot="1">
      <c r="A6" t="s">
        <v>35</v>
      </c>
    </row>
    <row r="7" spans="1:8">
      <c r="B7" s="4"/>
      <c r="C7" s="4"/>
      <c r="D7" s="4" t="s">
        <v>38</v>
      </c>
      <c r="E7" s="4" t="s">
        <v>40</v>
      </c>
      <c r="F7" s="4" t="s">
        <v>42</v>
      </c>
      <c r="G7" s="4" t="s">
        <v>44</v>
      </c>
      <c r="H7" s="4" t="s">
        <v>44</v>
      </c>
    </row>
    <row r="8" spans="1:8" ht="19" thickBot="1">
      <c r="B8" s="5" t="s">
        <v>36</v>
      </c>
      <c r="C8" s="5" t="s">
        <v>37</v>
      </c>
      <c r="D8" s="5" t="s">
        <v>39</v>
      </c>
      <c r="E8" s="5" t="s">
        <v>41</v>
      </c>
      <c r="F8" s="5" t="s">
        <v>43</v>
      </c>
      <c r="G8" s="5" t="s">
        <v>45</v>
      </c>
      <c r="H8" s="5" t="s">
        <v>46</v>
      </c>
    </row>
    <row r="9" spans="1:8">
      <c r="B9" s="2" t="s">
        <v>51</v>
      </c>
      <c r="C9" s="2" t="s">
        <v>52</v>
      </c>
      <c r="D9" s="2">
        <v>0</v>
      </c>
      <c r="E9" s="2">
        <v>0</v>
      </c>
      <c r="F9" s="2">
        <v>2.7</v>
      </c>
      <c r="G9" s="2">
        <v>0</v>
      </c>
      <c r="H9" s="2">
        <v>1E+30</v>
      </c>
    </row>
    <row r="10" spans="1:8">
      <c r="B10" s="2" t="s">
        <v>53</v>
      </c>
      <c r="C10" s="2" t="s">
        <v>54</v>
      </c>
      <c r="D10" s="2">
        <v>40</v>
      </c>
      <c r="E10" s="2">
        <v>0</v>
      </c>
      <c r="F10" s="2">
        <v>2.7</v>
      </c>
      <c r="G10" s="2">
        <v>0.53333333333333366</v>
      </c>
      <c r="H10" s="2">
        <v>0</v>
      </c>
    </row>
    <row r="11" spans="1:8">
      <c r="B11" s="2" t="s">
        <v>55</v>
      </c>
      <c r="C11" s="2" t="s">
        <v>56</v>
      </c>
      <c r="D11" s="2">
        <v>40</v>
      </c>
      <c r="E11" s="2">
        <v>0</v>
      </c>
      <c r="F11" s="2">
        <v>2.7000000000000011</v>
      </c>
      <c r="G11" s="2">
        <v>0</v>
      </c>
      <c r="H11" s="2">
        <v>1.600000000000001</v>
      </c>
    </row>
    <row r="12" spans="1:8">
      <c r="B12" s="2" t="s">
        <v>57</v>
      </c>
      <c r="C12" s="2" t="s">
        <v>58</v>
      </c>
      <c r="D12" s="2">
        <v>40</v>
      </c>
      <c r="E12" s="2">
        <v>0</v>
      </c>
      <c r="F12" s="2">
        <v>3.5</v>
      </c>
      <c r="G12" s="2">
        <v>1E+30</v>
      </c>
      <c r="H12" s="2">
        <v>0</v>
      </c>
    </row>
    <row r="13" spans="1:8">
      <c r="B13" s="2" t="s">
        <v>59</v>
      </c>
      <c r="C13" s="2" t="s">
        <v>60</v>
      </c>
      <c r="D13" s="2">
        <v>20</v>
      </c>
      <c r="E13" s="2">
        <v>0</v>
      </c>
      <c r="F13" s="2">
        <v>3.5</v>
      </c>
      <c r="G13" s="2">
        <v>0</v>
      </c>
      <c r="H13" s="2">
        <v>0.53333333333333366</v>
      </c>
    </row>
    <row r="14" spans="1:8" ht="19" thickBot="1">
      <c r="B14" s="3" t="s">
        <v>61</v>
      </c>
      <c r="C14" s="3" t="s">
        <v>62</v>
      </c>
      <c r="D14" s="3">
        <v>20</v>
      </c>
      <c r="E14" s="3">
        <v>0</v>
      </c>
      <c r="F14" s="3">
        <v>3.5</v>
      </c>
      <c r="G14" s="3">
        <v>1.600000000000001</v>
      </c>
      <c r="H14" s="3">
        <v>0</v>
      </c>
    </row>
    <row r="16" spans="1:8" ht="19" thickBot="1">
      <c r="A16" t="s">
        <v>47</v>
      </c>
    </row>
    <row r="17" spans="2:8">
      <c r="B17" s="4"/>
      <c r="C17" s="4"/>
      <c r="D17" s="4" t="s">
        <v>38</v>
      </c>
      <c r="E17" s="4" t="s">
        <v>48</v>
      </c>
      <c r="F17" s="4" t="s">
        <v>47</v>
      </c>
      <c r="G17" s="4" t="s">
        <v>44</v>
      </c>
      <c r="H17" s="4" t="s">
        <v>44</v>
      </c>
    </row>
    <row r="18" spans="2:8" ht="19" thickBot="1">
      <c r="B18" s="5" t="s">
        <v>36</v>
      </c>
      <c r="C18" s="5" t="s">
        <v>37</v>
      </c>
      <c r="D18" s="5" t="s">
        <v>39</v>
      </c>
      <c r="E18" s="5" t="s">
        <v>49</v>
      </c>
      <c r="F18" s="5" t="s">
        <v>50</v>
      </c>
      <c r="G18" s="5" t="s">
        <v>45</v>
      </c>
      <c r="H18" s="5" t="s">
        <v>46</v>
      </c>
    </row>
    <row r="19" spans="2:8">
      <c r="B19" s="2" t="s">
        <v>63</v>
      </c>
      <c r="C19" s="2" t="s">
        <v>64</v>
      </c>
      <c r="D19" s="2">
        <v>40</v>
      </c>
      <c r="E19" s="2">
        <v>4.2999999999999989</v>
      </c>
      <c r="F19" s="2">
        <v>40</v>
      </c>
      <c r="G19" s="2">
        <v>80</v>
      </c>
      <c r="H19" s="2">
        <v>40</v>
      </c>
    </row>
    <row r="20" spans="2:8">
      <c r="B20" s="2" t="s">
        <v>69</v>
      </c>
      <c r="C20" s="2" t="s">
        <v>70</v>
      </c>
      <c r="D20" s="2">
        <v>60</v>
      </c>
      <c r="E20" s="2">
        <v>3.1000000000000005</v>
      </c>
      <c r="F20" s="2">
        <v>60</v>
      </c>
      <c r="G20" s="2">
        <v>80</v>
      </c>
      <c r="H20" s="2">
        <v>26.666666666666668</v>
      </c>
    </row>
    <row r="21" spans="2:8">
      <c r="B21" s="2" t="s">
        <v>71</v>
      </c>
      <c r="C21" s="2" t="s">
        <v>72</v>
      </c>
      <c r="D21" s="2">
        <v>60</v>
      </c>
      <c r="E21" s="2">
        <v>2.3000000000000007</v>
      </c>
      <c r="F21" s="2">
        <v>60</v>
      </c>
      <c r="G21" s="2">
        <v>26.666666666666668</v>
      </c>
      <c r="H21" s="2">
        <v>53.333333333333336</v>
      </c>
    </row>
    <row r="22" spans="2:8">
      <c r="B22" s="2" t="s">
        <v>75</v>
      </c>
      <c r="C22" s="2" t="s">
        <v>76</v>
      </c>
      <c r="D22" s="2">
        <v>0</v>
      </c>
      <c r="E22" s="2">
        <v>-0.40000000000000024</v>
      </c>
      <c r="F22" s="2">
        <v>0</v>
      </c>
      <c r="G22" s="2">
        <v>26.666666666666668</v>
      </c>
      <c r="H22" s="2">
        <v>53.333333333333336</v>
      </c>
    </row>
    <row r="23" spans="2:8" ht="19" thickBot="1">
      <c r="B23" s="3" t="s">
        <v>77</v>
      </c>
      <c r="C23" s="3" t="s">
        <v>76</v>
      </c>
      <c r="D23" s="3">
        <v>0</v>
      </c>
      <c r="E23" s="3">
        <v>-0.39999999999999958</v>
      </c>
      <c r="F23" s="3">
        <v>0</v>
      </c>
      <c r="G23" s="3">
        <v>80</v>
      </c>
      <c r="H23" s="3">
        <v>160</v>
      </c>
    </row>
    <row r="29" spans="2:8">
      <c r="B29">
        <v>6</v>
      </c>
      <c r="C29" t="s">
        <v>79</v>
      </c>
    </row>
    <row r="31" spans="2:8">
      <c r="B31">
        <v>1</v>
      </c>
      <c r="C31" t="s">
        <v>93</v>
      </c>
    </row>
    <row r="32" spans="2:8">
      <c r="C32" t="s">
        <v>94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AB07-D16C-0940-B87E-957D9978803C}">
  <dimension ref="A1:H28"/>
  <sheetViews>
    <sheetView showGridLines="0" topLeftCell="A7" workbookViewId="0">
      <selection activeCell="C29" sqref="C29"/>
    </sheetView>
  </sheetViews>
  <sheetFormatPr baseColWidth="10" defaultRowHeight="18"/>
  <cols>
    <col min="1" max="1" width="2.28515625" customWidth="1"/>
    <col min="2" max="2" width="7" bestFit="1" customWidth="1"/>
    <col min="3" max="3" width="20" bestFit="1" customWidth="1"/>
    <col min="4" max="4" width="5.140625" bestFit="1" customWidth="1"/>
    <col min="5" max="5" width="5.42578125" bestFit="1" customWidth="1"/>
    <col min="6" max="6" width="9.140625" bestFit="1" customWidth="1"/>
    <col min="7" max="8" width="12.7109375" bestFit="1" customWidth="1"/>
  </cols>
  <sheetData>
    <row r="1" spans="1:8">
      <c r="A1" s="1" t="s">
        <v>32</v>
      </c>
    </row>
    <row r="2" spans="1:8">
      <c r="A2" s="1" t="s">
        <v>91</v>
      </c>
    </row>
    <row r="3" spans="1:8">
      <c r="A3" s="1" t="s">
        <v>95</v>
      </c>
    </row>
    <row r="6" spans="1:8" ht="19" thickBot="1">
      <c r="A6" t="s">
        <v>35</v>
      </c>
    </row>
    <row r="7" spans="1:8">
      <c r="B7" s="4"/>
      <c r="C7" s="4"/>
      <c r="D7" s="4" t="s">
        <v>38</v>
      </c>
      <c r="E7" s="4" t="s">
        <v>40</v>
      </c>
      <c r="F7" s="4" t="s">
        <v>42</v>
      </c>
      <c r="G7" s="4" t="s">
        <v>44</v>
      </c>
      <c r="H7" s="4" t="s">
        <v>44</v>
      </c>
    </row>
    <row r="8" spans="1:8" ht="19" thickBot="1">
      <c r="B8" s="5" t="s">
        <v>36</v>
      </c>
      <c r="C8" s="5" t="s">
        <v>37</v>
      </c>
      <c r="D8" s="5" t="s">
        <v>39</v>
      </c>
      <c r="E8" s="5" t="s">
        <v>41</v>
      </c>
      <c r="F8" s="5" t="s">
        <v>43</v>
      </c>
      <c r="G8" s="5" t="s">
        <v>45</v>
      </c>
      <c r="H8" s="5" t="s">
        <v>46</v>
      </c>
    </row>
    <row r="9" spans="1:8">
      <c r="B9" s="2" t="s">
        <v>51</v>
      </c>
      <c r="C9" s="2" t="s">
        <v>52</v>
      </c>
      <c r="D9" s="2">
        <v>0</v>
      </c>
      <c r="E9" s="2">
        <v>0</v>
      </c>
      <c r="F9" s="2">
        <v>2.7</v>
      </c>
      <c r="G9" s="2">
        <v>0</v>
      </c>
      <c r="H9" s="2">
        <v>1E+30</v>
      </c>
    </row>
    <row r="10" spans="1:8">
      <c r="B10" s="2" t="s">
        <v>53</v>
      </c>
      <c r="C10" s="2" t="s">
        <v>54</v>
      </c>
      <c r="D10" s="2">
        <v>40</v>
      </c>
      <c r="E10" s="2">
        <v>0</v>
      </c>
      <c r="F10" s="2">
        <v>2.7</v>
      </c>
      <c r="G10" s="2">
        <v>0.53333333333333366</v>
      </c>
      <c r="H10" s="2">
        <v>0</v>
      </c>
    </row>
    <row r="11" spans="1:8">
      <c r="B11" s="2" t="s">
        <v>55</v>
      </c>
      <c r="C11" s="2" t="s">
        <v>56</v>
      </c>
      <c r="D11" s="2">
        <v>40</v>
      </c>
      <c r="E11" s="2">
        <v>0</v>
      </c>
      <c r="F11" s="2">
        <v>2.7000000000000011</v>
      </c>
      <c r="G11" s="2">
        <v>0</v>
      </c>
      <c r="H11" s="2">
        <v>1.600000000000001</v>
      </c>
    </row>
    <row r="12" spans="1:8">
      <c r="B12" s="2" t="s">
        <v>57</v>
      </c>
      <c r="C12" s="2" t="s">
        <v>58</v>
      </c>
      <c r="D12" s="2">
        <v>40</v>
      </c>
      <c r="E12" s="2">
        <v>0</v>
      </c>
      <c r="F12" s="2">
        <v>3.5</v>
      </c>
      <c r="G12" s="2">
        <v>1E+30</v>
      </c>
      <c r="H12" s="2">
        <v>0</v>
      </c>
    </row>
    <row r="13" spans="1:8">
      <c r="B13" s="2" t="s">
        <v>59</v>
      </c>
      <c r="C13" s="2" t="s">
        <v>60</v>
      </c>
      <c r="D13" s="2">
        <v>20</v>
      </c>
      <c r="E13" s="2">
        <v>0</v>
      </c>
      <c r="F13" s="2">
        <v>3.5</v>
      </c>
      <c r="G13" s="2">
        <v>0</v>
      </c>
      <c r="H13" s="2">
        <v>0.53333333333333366</v>
      </c>
    </row>
    <row r="14" spans="1:8" ht="19" thickBot="1">
      <c r="B14" s="3" t="s">
        <v>61</v>
      </c>
      <c r="C14" s="3" t="s">
        <v>62</v>
      </c>
      <c r="D14" s="3">
        <v>20</v>
      </c>
      <c r="E14" s="3">
        <v>0</v>
      </c>
      <c r="F14" s="3">
        <v>3.5</v>
      </c>
      <c r="G14" s="3">
        <v>1.600000000000001</v>
      </c>
      <c r="H14" s="3">
        <v>0</v>
      </c>
    </row>
    <row r="16" spans="1:8" ht="19" thickBot="1">
      <c r="A16" t="s">
        <v>47</v>
      </c>
    </row>
    <row r="17" spans="2:8">
      <c r="B17" s="4"/>
      <c r="C17" s="4"/>
      <c r="D17" s="4" t="s">
        <v>38</v>
      </c>
      <c r="E17" s="4" t="s">
        <v>48</v>
      </c>
      <c r="F17" s="4" t="s">
        <v>47</v>
      </c>
      <c r="G17" s="4" t="s">
        <v>44</v>
      </c>
      <c r="H17" s="4" t="s">
        <v>44</v>
      </c>
    </row>
    <row r="18" spans="2:8" ht="19" thickBot="1">
      <c r="B18" s="5" t="s">
        <v>36</v>
      </c>
      <c r="C18" s="5" t="s">
        <v>37</v>
      </c>
      <c r="D18" s="5" t="s">
        <v>39</v>
      </c>
      <c r="E18" s="5" t="s">
        <v>49</v>
      </c>
      <c r="F18" s="5" t="s">
        <v>50</v>
      </c>
      <c r="G18" s="5" t="s">
        <v>45</v>
      </c>
      <c r="H18" s="5" t="s">
        <v>46</v>
      </c>
    </row>
    <row r="19" spans="2:8">
      <c r="B19" s="2" t="s">
        <v>80</v>
      </c>
      <c r="C19" s="2" t="s">
        <v>81</v>
      </c>
      <c r="D19" s="2">
        <v>40</v>
      </c>
      <c r="E19" s="2">
        <v>-4.2999999999999989</v>
      </c>
      <c r="F19" s="2">
        <v>0</v>
      </c>
      <c r="G19" s="2">
        <v>40</v>
      </c>
      <c r="H19" s="2">
        <v>80</v>
      </c>
    </row>
    <row r="20" spans="2:8">
      <c r="B20" s="2" t="s">
        <v>82</v>
      </c>
      <c r="C20" s="2" t="s">
        <v>81</v>
      </c>
      <c r="D20" s="2">
        <v>60</v>
      </c>
      <c r="E20" s="2">
        <v>-3.1000000000000005</v>
      </c>
      <c r="F20" s="2">
        <v>0</v>
      </c>
      <c r="G20" s="2">
        <v>26.666666666666668</v>
      </c>
      <c r="H20" s="2">
        <v>80</v>
      </c>
    </row>
    <row r="21" spans="2:8">
      <c r="B21" s="2" t="s">
        <v>83</v>
      </c>
      <c r="C21" s="2" t="s">
        <v>81</v>
      </c>
      <c r="D21" s="2">
        <v>60</v>
      </c>
      <c r="E21" s="2">
        <v>-2.3000000000000007</v>
      </c>
      <c r="F21" s="2">
        <v>0</v>
      </c>
      <c r="G21" s="2">
        <v>53.333333333333336</v>
      </c>
      <c r="H21" s="2">
        <v>26.666666666666668</v>
      </c>
    </row>
    <row r="22" spans="2:8">
      <c r="B22" s="2" t="s">
        <v>85</v>
      </c>
      <c r="C22" s="2" t="s">
        <v>86</v>
      </c>
      <c r="D22" s="2">
        <v>400</v>
      </c>
      <c r="E22" s="2">
        <v>0</v>
      </c>
      <c r="F22" s="2">
        <v>0</v>
      </c>
      <c r="G22" s="2">
        <v>1E+30</v>
      </c>
      <c r="H22" s="2">
        <v>0</v>
      </c>
    </row>
    <row r="23" spans="2:8">
      <c r="B23" s="2" t="s">
        <v>87</v>
      </c>
      <c r="C23" s="2" t="s">
        <v>86</v>
      </c>
      <c r="D23" s="2">
        <v>560</v>
      </c>
      <c r="E23" s="2">
        <v>0</v>
      </c>
      <c r="F23" s="2">
        <v>0</v>
      </c>
      <c r="G23" s="2">
        <v>1E+30</v>
      </c>
      <c r="H23" s="2">
        <v>0</v>
      </c>
    </row>
    <row r="24" spans="2:8">
      <c r="B24" s="2" t="s">
        <v>75</v>
      </c>
      <c r="C24" s="2" t="s">
        <v>92</v>
      </c>
      <c r="D24" s="2">
        <v>0</v>
      </c>
      <c r="E24" s="2">
        <v>-0.40000000000000024</v>
      </c>
      <c r="F24" s="2">
        <v>0</v>
      </c>
      <c r="G24" s="2">
        <v>26.666666666666668</v>
      </c>
      <c r="H24" s="2">
        <v>0</v>
      </c>
    </row>
    <row r="25" spans="2:8" ht="19" thickBot="1">
      <c r="B25" s="3" t="s">
        <v>77</v>
      </c>
      <c r="C25" s="3" t="s">
        <v>92</v>
      </c>
      <c r="D25" s="3">
        <v>0</v>
      </c>
      <c r="E25" s="3">
        <v>-0.39999999999999958</v>
      </c>
      <c r="F25" s="3">
        <v>0</v>
      </c>
      <c r="G25" s="3">
        <v>80</v>
      </c>
      <c r="H25" s="3">
        <v>0</v>
      </c>
    </row>
    <row r="28" spans="2:8">
      <c r="B28">
        <v>2</v>
      </c>
      <c r="C28" t="s">
        <v>96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FF12-B88B-3C41-8EDB-C0EE415F15DC}">
  <dimension ref="A1:G22"/>
  <sheetViews>
    <sheetView workbookViewId="0">
      <selection activeCell="I11" sqref="I11"/>
    </sheetView>
  </sheetViews>
  <sheetFormatPr baseColWidth="10" defaultRowHeight="18"/>
  <cols>
    <col min="1" max="1" width="18.42578125" customWidth="1"/>
  </cols>
  <sheetData>
    <row r="1" spans="1:7">
      <c r="A1" t="s">
        <v>0</v>
      </c>
    </row>
    <row r="3" spans="1:7">
      <c r="A3" t="s">
        <v>1</v>
      </c>
    </row>
    <row r="4" spans="1:7">
      <c r="A4" t="s">
        <v>2</v>
      </c>
      <c r="B4">
        <v>9</v>
      </c>
      <c r="C4">
        <v>6</v>
      </c>
      <c r="D4">
        <v>4</v>
      </c>
    </row>
    <row r="6" spans="1:7">
      <c r="B6" t="s">
        <v>10</v>
      </c>
      <c r="C6" t="s">
        <v>11</v>
      </c>
    </row>
    <row r="7" spans="1:7">
      <c r="A7" t="s">
        <v>12</v>
      </c>
      <c r="B7">
        <v>2.7</v>
      </c>
      <c r="C7">
        <v>3.5</v>
      </c>
    </row>
    <row r="8" spans="1:7">
      <c r="A8" t="s">
        <v>13</v>
      </c>
      <c r="B8">
        <v>5</v>
      </c>
      <c r="C8">
        <v>7</v>
      </c>
    </row>
    <row r="10" spans="1:7">
      <c r="A10" t="s">
        <v>14</v>
      </c>
      <c r="E10" t="s">
        <v>19</v>
      </c>
    </row>
    <row r="11" spans="1:7">
      <c r="B11" t="s">
        <v>15</v>
      </c>
      <c r="C11" t="s">
        <v>16</v>
      </c>
      <c r="D11" t="s">
        <v>17</v>
      </c>
      <c r="E11" t="s">
        <v>18</v>
      </c>
      <c r="F11" t="s">
        <v>97</v>
      </c>
      <c r="G11" t="s">
        <v>98</v>
      </c>
    </row>
    <row r="12" spans="1:7">
      <c r="A12" t="s">
        <v>20</v>
      </c>
      <c r="B12">
        <v>40</v>
      </c>
      <c r="C12">
        <v>60</v>
      </c>
      <c r="D12">
        <v>60</v>
      </c>
      <c r="E12">
        <f>SUM(B12:D12)</f>
        <v>160</v>
      </c>
      <c r="F12" s="6">
        <v>0.03</v>
      </c>
      <c r="G12">
        <f>E12*(100%-F12)</f>
        <v>155.19999999999999</v>
      </c>
    </row>
    <row r="13" spans="1:7">
      <c r="A13" t="s">
        <v>21</v>
      </c>
      <c r="B13">
        <v>0</v>
      </c>
      <c r="C13">
        <v>0</v>
      </c>
      <c r="D13">
        <v>0</v>
      </c>
      <c r="E13">
        <f>SUM(B13:D13)</f>
        <v>0</v>
      </c>
      <c r="F13" s="6">
        <v>0.3</v>
      </c>
      <c r="G13">
        <f>E13*(100%-F13)</f>
        <v>0</v>
      </c>
    </row>
    <row r="14" spans="1:7">
      <c r="A14" t="s">
        <v>22</v>
      </c>
      <c r="B14">
        <f>B12+B13</f>
        <v>40</v>
      </c>
      <c r="C14">
        <f t="shared" ref="C14:D14" si="0">C12+C13</f>
        <v>60</v>
      </c>
      <c r="D14">
        <f t="shared" si="0"/>
        <v>60</v>
      </c>
    </row>
    <row r="15" spans="1:7">
      <c r="A15" t="s">
        <v>19</v>
      </c>
      <c r="B15" t="s">
        <v>23</v>
      </c>
      <c r="C15" t="s">
        <v>23</v>
      </c>
      <c r="D15" t="s">
        <v>23</v>
      </c>
    </row>
    <row r="16" spans="1:7">
      <c r="A16" t="s">
        <v>24</v>
      </c>
      <c r="B16">
        <v>40</v>
      </c>
      <c r="C16">
        <v>60</v>
      </c>
      <c r="D16">
        <v>60</v>
      </c>
    </row>
    <row r="18" spans="1:7">
      <c r="B18" t="s">
        <v>25</v>
      </c>
      <c r="D18" t="s">
        <v>26</v>
      </c>
      <c r="E18" t="s">
        <v>90</v>
      </c>
    </row>
    <row r="19" spans="1:7">
      <c r="A19" t="s">
        <v>27</v>
      </c>
      <c r="B19">
        <f>SUMPRODUCT(B$4:D$4,B12:D12)</f>
        <v>960</v>
      </c>
      <c r="C19" t="s">
        <v>28</v>
      </c>
      <c r="D19">
        <f>B8*E12</f>
        <v>800</v>
      </c>
      <c r="E19">
        <f>B19-D19</f>
        <v>160</v>
      </c>
      <c r="F19" t="s">
        <v>28</v>
      </c>
      <c r="G19">
        <v>0</v>
      </c>
    </row>
    <row r="20" spans="1:7">
      <c r="A20" t="s">
        <v>29</v>
      </c>
      <c r="B20">
        <f>SUMPRODUCT(B$4:D$4,B13:D13)</f>
        <v>0</v>
      </c>
      <c r="C20" t="s">
        <v>28</v>
      </c>
      <c r="D20">
        <f>C8*E13</f>
        <v>0</v>
      </c>
      <c r="E20">
        <f>B20-D20</f>
        <v>0</v>
      </c>
      <c r="F20" t="s">
        <v>28</v>
      </c>
      <c r="G20">
        <v>0</v>
      </c>
    </row>
    <row r="21" spans="1:7">
      <c r="B21" t="s">
        <v>30</v>
      </c>
    </row>
    <row r="22" spans="1:7">
      <c r="A22" t="s">
        <v>31</v>
      </c>
      <c r="B22">
        <f>B7*G12+C7*G13</f>
        <v>419.04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Sheet1</vt:lpstr>
      <vt:lpstr>민감도 보고서 1</vt:lpstr>
      <vt:lpstr>민감도 보고서 2</vt:lpstr>
      <vt:lpstr>Sheet1 (2)</vt:lpstr>
      <vt:lpstr>실습문제2</vt:lpstr>
      <vt:lpstr>민감도 보고서 3</vt:lpstr>
      <vt:lpstr>민감도 보고서 4</vt:lpstr>
      <vt:lpstr>실습문제2 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2020-04-14T06:48:04Z</dcterms:created>
  <dcterms:modified xsi:type="dcterms:W3CDTF">2020-06-15T12:47:35Z</dcterms:modified>
</cp:coreProperties>
</file>