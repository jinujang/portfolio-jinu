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드라이브/1.실행/대학생활/2학년 1학기/ㄴ 경영과학1 및 실습/8~15주차/"/>
    </mc:Choice>
  </mc:AlternateContent>
  <xr:revisionPtr revIDLastSave="0" documentId="13_ncr:1_{DA718B10-AD59-D74E-8DD7-7DD332BFFF17}" xr6:coauthVersionLast="45" xr6:coauthVersionMax="45" xr10:uidLastSave="{00000000-0000-0000-0000-000000000000}"/>
  <bookViews>
    <workbookView xWindow="14840" yWindow="520" windowWidth="12880" windowHeight="12200" activeTab="2" xr2:uid="{1F1FC517-094F-7547-939C-DB641ABC46F0}"/>
  </bookViews>
  <sheets>
    <sheet name="Sheet1" sheetId="1" r:id="rId1"/>
    <sheet name="Sheet2" sheetId="2" r:id="rId2"/>
    <sheet name="민감도 보고서 1" sheetId="3" r:id="rId3"/>
    <sheet name="Sheet3" sheetId="4" r:id="rId4"/>
    <sheet name="Sheet5" sheetId="6" r:id="rId5"/>
    <sheet name="민감도 보고서 2" sheetId="5" r:id="rId6"/>
  </sheets>
  <definedNames>
    <definedName name="solver_adj" localSheetId="1" hidden="1">Sheet2!$B$12:$G$12</definedName>
    <definedName name="solver_adj" localSheetId="3" hidden="1">Sheet3!$B$12:$B$13</definedName>
    <definedName name="solver_cvg" localSheetId="1" hidden="1">0.0001</definedName>
    <definedName name="solver_cvg" localSheetId="3" hidden="1">0.0001</definedName>
    <definedName name="solver_drv" localSheetId="1" hidden="1">1</definedName>
    <definedName name="solver_drv" localSheetId="3" hidden="1">1</definedName>
    <definedName name="solver_eng" localSheetId="0" hidden="1">1</definedName>
    <definedName name="solver_eng" localSheetId="1" hidden="1">2</definedName>
    <definedName name="solver_eng" localSheetId="3" hidden="1">2</definedName>
    <definedName name="solver_itr" localSheetId="1" hidden="1">2147483647</definedName>
    <definedName name="solver_itr" localSheetId="3" hidden="1">2147483647</definedName>
    <definedName name="solver_lhs1" localSheetId="1" hidden="1">Sheet2!$B$16:$B$17</definedName>
    <definedName name="solver_lhs1" localSheetId="3" hidden="1">Sheet3!$B$16</definedName>
    <definedName name="solver_lhs2" localSheetId="3" hidden="1">Sheet3!$C$16</definedName>
    <definedName name="solver_lhs3" localSheetId="3" hidden="1">Sheet3!$D$16</definedName>
    <definedName name="solver_lhs4" localSheetId="3" hidden="1">Sheet3!$E$16</definedName>
    <definedName name="solver_lhs5" localSheetId="3" hidden="1">Sheet3!$F$16</definedName>
    <definedName name="solver_lhs6" localSheetId="3" hidden="1">Sheet3!$G$16</definedName>
    <definedName name="solver_lin" localSheetId="0" hidden="1">2</definedName>
    <definedName name="solver_lin" localSheetId="1" hidden="1">1</definedName>
    <definedName name="solver_lin" localSheetId="3" hidden="1">1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0" hidden="1">0</definedName>
    <definedName name="solver_num" localSheetId="1" hidden="1">1</definedName>
    <definedName name="solver_num" localSheetId="3" hidden="1">6</definedName>
    <definedName name="solver_opt" localSheetId="0" hidden="1">Sheet1!$I$3</definedName>
    <definedName name="solver_opt" localSheetId="1" hidden="1">Sheet2!$B$19</definedName>
    <definedName name="solver_opt" localSheetId="3" hidden="1">Sheet3!$B$21</definedName>
    <definedName name="solver_pre" localSheetId="1" hidden="1">0.000001</definedName>
    <definedName name="solver_pre" localSheetId="3" hidden="1">0.000001</definedName>
    <definedName name="solver_rbv" localSheetId="1" hidden="1">1</definedName>
    <definedName name="solver_rbv" localSheetId="3" hidden="1">1</definedName>
    <definedName name="solver_rel1" localSheetId="1" hidden="1">3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hs1" localSheetId="1" hidden="1">Sheet2!$D$16:$D$17</definedName>
    <definedName name="solver_rhs1" localSheetId="3" hidden="1">Sheet3!$B$18</definedName>
    <definedName name="solver_rhs2" localSheetId="3" hidden="1">Sheet3!$C$18</definedName>
    <definedName name="solver_rhs3" localSheetId="3" hidden="1">Sheet3!$D$18</definedName>
    <definedName name="solver_rhs4" localSheetId="3" hidden="1">Sheet3!$E$18</definedName>
    <definedName name="solver_rhs5" localSheetId="3" hidden="1">Sheet3!$F$18</definedName>
    <definedName name="solver_rhs6" localSheetId="3" hidden="1">Sheet3!$G$18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1</definedName>
    <definedName name="solver_scl" localSheetId="3" hidden="1">1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0.01</definedName>
    <definedName name="solver_tol" localSheetId="3" hidden="1">0.01</definedName>
    <definedName name="solver_typ" localSheetId="0" hidden="1">1</definedName>
    <definedName name="solver_typ" localSheetId="1" hidden="1">2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er" localSheetId="0" hidden="1">2</definedName>
    <definedName name="solver_ver" localSheetId="1" hidden="1">2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6" l="1"/>
  <c r="B21" i="6"/>
  <c r="G16" i="6"/>
  <c r="F16" i="6"/>
  <c r="E16" i="6"/>
  <c r="D16" i="6"/>
  <c r="C16" i="6"/>
  <c r="B21" i="4"/>
  <c r="C16" i="4"/>
  <c r="D16" i="4"/>
  <c r="E16" i="4"/>
  <c r="F16" i="4"/>
  <c r="G16" i="4"/>
  <c r="B16" i="4"/>
  <c r="B19" i="2" l="1"/>
  <c r="B17" i="2"/>
  <c r="B16" i="2"/>
  <c r="B12" i="1"/>
  <c r="C12" i="1"/>
  <c r="D12" i="1"/>
  <c r="E12" i="1"/>
  <c r="F12" i="1"/>
  <c r="G12" i="1"/>
  <c r="I12" i="1"/>
  <c r="B13" i="1"/>
  <c r="C13" i="1"/>
  <c r="D13" i="1"/>
  <c r="E13" i="1"/>
  <c r="F13" i="1"/>
  <c r="G13" i="1"/>
  <c r="I13" i="1"/>
  <c r="B14" i="1"/>
  <c r="C14" i="1"/>
  <c r="D14" i="1"/>
  <c r="E14" i="1"/>
  <c r="F14" i="1"/>
  <c r="G14" i="1"/>
  <c r="I14" i="1"/>
  <c r="E11" i="1"/>
  <c r="F11" i="1"/>
  <c r="G11" i="1"/>
  <c r="I11" i="1"/>
  <c r="B11" i="1"/>
  <c r="C11" i="1"/>
  <c r="D11" i="1"/>
  <c r="E15" i="1"/>
  <c r="F15" i="1"/>
  <c r="G15" i="1"/>
  <c r="I15" i="1"/>
  <c r="B15" i="1"/>
  <c r="C15" i="1"/>
  <c r="D15" i="1"/>
</calcChain>
</file>

<file path=xl/sharedStrings.xml><?xml version="1.0" encoding="utf-8"?>
<sst xmlns="http://schemas.openxmlformats.org/spreadsheetml/2006/main" count="278" uniqueCount="150">
  <si>
    <t>&lt;대안최적해&gt;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</si>
  <si>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</si>
  <si>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</si>
  <si>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</si>
  <si>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</si>
  <si>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</si>
  <si>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</si>
  <si>
    <t>우변상수</t>
    <phoneticPr fontId="1" type="noConversion"/>
  </si>
  <si>
    <t>=</t>
    <phoneticPr fontId="1" type="noConversion"/>
  </si>
  <si>
    <t>기저변수</t>
    <phoneticPr fontId="1" type="noConversion"/>
  </si>
  <si>
    <t>기저변수값</t>
    <phoneticPr fontId="1" type="noConversion"/>
  </si>
  <si>
    <t>&lt;원본문제: 식품자재 구입문제&gt;</t>
    <phoneticPr fontId="1" type="noConversion"/>
  </si>
  <si>
    <t>입력자료</t>
    <phoneticPr fontId="1" type="noConversion"/>
  </si>
  <si>
    <t>식품100g에 포함된 비타민 함량</t>
    <phoneticPr fontId="1" type="noConversion"/>
  </si>
  <si>
    <t>식품1</t>
    <phoneticPr fontId="1" type="noConversion"/>
  </si>
  <si>
    <t>식품2</t>
    <phoneticPr fontId="1" type="noConversion"/>
  </si>
  <si>
    <t>식품3</t>
    <phoneticPr fontId="1" type="noConversion"/>
  </si>
  <si>
    <t>식품4</t>
    <phoneticPr fontId="1" type="noConversion"/>
  </si>
  <si>
    <t>식품5</t>
    <phoneticPr fontId="1" type="noConversion"/>
  </si>
  <si>
    <t>식품6</t>
    <phoneticPr fontId="1" type="noConversion"/>
  </si>
  <si>
    <t>비타민 A 함량</t>
    <phoneticPr fontId="1" type="noConversion"/>
  </si>
  <si>
    <t>비타민 C 함량</t>
    <phoneticPr fontId="1" type="noConversion"/>
  </si>
  <si>
    <t>식품가격(원)</t>
    <phoneticPr fontId="1" type="noConversion"/>
  </si>
  <si>
    <t>모형</t>
    <phoneticPr fontId="1" type="noConversion"/>
  </si>
  <si>
    <t>(100IU)</t>
    <phoneticPr fontId="1" type="noConversion"/>
  </si>
  <si>
    <t>변수</t>
    <phoneticPr fontId="1" type="noConversion"/>
  </si>
  <si>
    <t>식품구입량</t>
    <phoneticPr fontId="1" type="noConversion"/>
  </si>
  <si>
    <t>비타민 A 섭취량</t>
    <phoneticPr fontId="1" type="noConversion"/>
  </si>
  <si>
    <t>비타민 C 섭취량</t>
    <phoneticPr fontId="1" type="noConversion"/>
  </si>
  <si>
    <t>&gt;=</t>
    <phoneticPr fontId="1" type="noConversion"/>
  </si>
  <si>
    <t>필수요구량</t>
    <phoneticPr fontId="1" type="noConversion"/>
  </si>
  <si>
    <t>(mgr)</t>
    <phoneticPr fontId="1" type="noConversion"/>
  </si>
  <si>
    <t>총 식단비용</t>
    <phoneticPr fontId="1" type="noConversion"/>
  </si>
  <si>
    <t>Microsoft Excel 16.37 민감도 보고서</t>
  </si>
  <si>
    <t>워크시트 이름: [9주차 실습과제.xlsx]Sheet2</t>
  </si>
  <si>
    <t>보고서 작성일: 2020. 5. 16. 10:30:52 오후</t>
  </si>
  <si>
    <t>변수 셀</t>
  </si>
  <si>
    <t>셀</t>
  </si>
  <si>
    <t>이름</t>
  </si>
  <si>
    <t>계산</t>
  </si>
  <si>
    <t>값</t>
  </si>
  <si>
    <t>한계</t>
  </si>
  <si>
    <t>비용</t>
  </si>
  <si>
    <t>목표 셀</t>
  </si>
  <si>
    <t>계수</t>
  </si>
  <si>
    <t>허용 가능</t>
  </si>
  <si>
    <t>증가치</t>
  </si>
  <si>
    <t>감소치</t>
  </si>
  <si>
    <t>제한 조건</t>
  </si>
  <si>
    <t>잠재</t>
  </si>
  <si>
    <t>가격</t>
  </si>
  <si>
    <t>우변</t>
  </si>
  <si>
    <t>$B$12</t>
  </si>
  <si>
    <t>식품구입량 식품1</t>
  </si>
  <si>
    <t>$C$12</t>
  </si>
  <si>
    <t>식품구입량 식품2</t>
  </si>
  <si>
    <t>$D$12</t>
  </si>
  <si>
    <t>식품구입량 식품3</t>
  </si>
  <si>
    <t>$E$12</t>
  </si>
  <si>
    <t>식품구입량 식품4</t>
  </si>
  <si>
    <t>$F$12</t>
  </si>
  <si>
    <t>식품구입량 식품5</t>
  </si>
  <si>
    <t>$G$12</t>
  </si>
  <si>
    <t>식품구입량 식품6</t>
  </si>
  <si>
    <t>$B$16</t>
  </si>
  <si>
    <t>비타민 A 섭취량 식품1</t>
  </si>
  <si>
    <t>$B$17</t>
  </si>
  <si>
    <t>비타민 C 섭취량 식품1</t>
  </si>
  <si>
    <t>(3) 심플렉스 초기해 표</t>
    <phoneticPr fontId="1" type="noConversion"/>
  </si>
  <si>
    <t>x4 - x5 - 4x6=60</t>
    <phoneticPr fontId="1" type="noConversion"/>
  </si>
  <si>
    <t>x3 - 2x4 + 5x6=40</t>
    <phoneticPr fontId="1" type="noConversion"/>
  </si>
  <si>
    <t>(1) 대안최적해</t>
    <phoneticPr fontId="1" type="noConversion"/>
  </si>
  <si>
    <t>(2) 복수 최적해 수식 표현</t>
    <phoneticPr fontId="1" type="noConversion"/>
  </si>
  <si>
    <t>(18,32,90,2360/7,28,8)</t>
    <phoneticPr fontId="1" type="noConversion"/>
  </si>
  <si>
    <t>(10,40,40,2360/7,60,40)</t>
    <phoneticPr fontId="1" type="noConversion"/>
  </si>
  <si>
    <t>(4)Simplex Table)</t>
    <phoneticPr fontId="1" type="noConversion"/>
  </si>
  <si>
    <t>&lt;쌍대문제: 비타민 가격결정문제&gt;</t>
    <phoneticPr fontId="1" type="noConversion"/>
  </si>
  <si>
    <t>비타민 가격</t>
    <phoneticPr fontId="1" type="noConversion"/>
  </si>
  <si>
    <t>비타민 A</t>
    <phoneticPr fontId="1" type="noConversion"/>
  </si>
  <si>
    <t>비타민 C</t>
    <phoneticPr fontId="1" type="noConversion"/>
  </si>
  <si>
    <t>(원)</t>
    <phoneticPr fontId="1" type="noConversion"/>
  </si>
  <si>
    <t>필수 요구량</t>
    <phoneticPr fontId="1" type="noConversion"/>
  </si>
  <si>
    <t>(단위)</t>
    <phoneticPr fontId="1" type="noConversion"/>
  </si>
  <si>
    <t>(100 IU)</t>
    <phoneticPr fontId="1" type="noConversion"/>
  </si>
  <si>
    <t>(mg)</t>
    <phoneticPr fontId="1" type="noConversion"/>
  </si>
  <si>
    <t>비타민 가격으로</t>
    <phoneticPr fontId="1" type="noConversion"/>
  </si>
  <si>
    <t>평가한 식품비용</t>
    <phoneticPr fontId="1" type="noConversion"/>
  </si>
  <si>
    <t>식품 구입가격</t>
    <phoneticPr fontId="1" type="noConversion"/>
  </si>
  <si>
    <t>&lt;=</t>
    <phoneticPr fontId="1" type="noConversion"/>
  </si>
  <si>
    <t>비타민 판매금액</t>
    <phoneticPr fontId="1" type="noConversion"/>
  </si>
  <si>
    <t>(1) 선형계획모형</t>
    <phoneticPr fontId="1" type="noConversion"/>
  </si>
  <si>
    <t>50(y1)+60(y2)=Z</t>
    <phoneticPr fontId="1" type="noConversion"/>
  </si>
  <si>
    <t>10(y1)&lt;=350</t>
    <phoneticPr fontId="1" type="noConversion"/>
  </si>
  <si>
    <t>10(y2)&lt;=300</t>
    <phoneticPr fontId="1" type="noConversion"/>
  </si>
  <si>
    <t>(y1), (y2)&gt;=0</t>
    <phoneticPr fontId="1" type="noConversion"/>
  </si>
  <si>
    <t>20(y1) + 20(y2)&lt;=400</t>
    <phoneticPr fontId="1" type="noConversion"/>
  </si>
  <si>
    <t>10(y1) +30(y2) &lt;=270</t>
    <phoneticPr fontId="1" type="noConversion"/>
  </si>
  <si>
    <t>20(y1) + 10(y2) &lt;=340</t>
    <phoneticPr fontId="1" type="noConversion"/>
  </si>
  <si>
    <t>20(y1) + 30(y2) &lt;=500</t>
    <phoneticPr fontId="1" type="noConversion"/>
  </si>
  <si>
    <t>(3) 소비자 박씨</t>
    <phoneticPr fontId="1" type="noConversion"/>
  </si>
  <si>
    <t>식품 4와 5를 하나씩 구매할 경우</t>
    <phoneticPr fontId="1" type="noConversion"/>
  </si>
  <si>
    <t>비타민 A=30 비타민C=40</t>
    <phoneticPr fontId="1" type="noConversion"/>
  </si>
  <si>
    <t>식품가격 = 610</t>
    <phoneticPr fontId="1" type="noConversion"/>
  </si>
  <si>
    <t>알약가격=30x10+40x10=700</t>
    <phoneticPr fontId="1" type="noConversion"/>
  </si>
  <si>
    <t>식품을 직접구매하는것이 유리</t>
    <phoneticPr fontId="1" type="noConversion"/>
  </si>
  <si>
    <t>워크시트 이름: [9주차 실습과제.xlsx]Sheet3</t>
  </si>
  <si>
    <t>보고서 작성일: 2020. 5. 17. 11:43:34 오후</t>
  </si>
  <si>
    <t>비타민 A (원)</t>
  </si>
  <si>
    <t>$B$13</t>
  </si>
  <si>
    <t>비타민 C (원)</t>
  </si>
  <si>
    <t>평가한 식품비용 식품1</t>
  </si>
  <si>
    <t>$C$16</t>
  </si>
  <si>
    <t>평가한 식품비용 식품2</t>
  </si>
  <si>
    <t>$D$16</t>
  </si>
  <si>
    <t>평가한 식품비용 식품3</t>
  </si>
  <si>
    <t>$E$16</t>
  </si>
  <si>
    <t>평가한 식품비용 식품4</t>
  </si>
  <si>
    <t>$F$16</t>
  </si>
  <si>
    <t>평가한 식품비용 식품5</t>
  </si>
  <si>
    <t>$G$16</t>
  </si>
  <si>
    <t>평가한 식품비용 식품6</t>
  </si>
  <si>
    <t>(4)최대 판매금액</t>
    <phoneticPr fontId="1" type="noConversion"/>
  </si>
  <si>
    <t>990원</t>
    <phoneticPr fontId="1" type="noConversion"/>
  </si>
  <si>
    <t>18원 변동</t>
    <phoneticPr fontId="1" type="noConversion"/>
  </si>
  <si>
    <t>약 쌍대성 정리, 강 쌍대성 정리, 상보여유정리</t>
    <phoneticPr fontId="1" type="noConversion"/>
  </si>
  <si>
    <t>(1) &lt;약쌍대성정리&gt;</t>
    <phoneticPr fontId="1" type="noConversion"/>
  </si>
  <si>
    <t>박씨의 식품 비타민A함량</t>
    <phoneticPr fontId="1" type="noConversion"/>
  </si>
  <si>
    <t>20x1.75+20x0.75=50</t>
    <phoneticPr fontId="1" type="noConversion"/>
  </si>
  <si>
    <t>박씨의 식품 비타민 C함량</t>
    <phoneticPr fontId="1" type="noConversion"/>
  </si>
  <si>
    <t>30x1.75+10x0.75=60</t>
    <phoneticPr fontId="1" type="noConversion"/>
  </si>
  <si>
    <t>구입비용=</t>
    <phoneticPr fontId="1" type="noConversion"/>
  </si>
  <si>
    <t>비타민 판매금액의 상한값은 1130</t>
    <phoneticPr fontId="1" type="noConversion"/>
  </si>
  <si>
    <t>(2) &lt;강쌍대성정리&gt;</t>
    <phoneticPr fontId="1" type="noConversion"/>
  </si>
  <si>
    <t>가능해가 된다</t>
    <phoneticPr fontId="1" type="noConversion"/>
  </si>
  <si>
    <t>판매금액은 990원</t>
    <phoneticPr fontId="1" type="noConversion"/>
  </si>
  <si>
    <t>식품의 비타민A함량</t>
    <phoneticPr fontId="1" type="noConversion"/>
  </si>
  <si>
    <t>20x1.8+10x1.4=50</t>
    <phoneticPr fontId="1" type="noConversion"/>
  </si>
  <si>
    <t>10x1.8+30x1.4=60</t>
    <phoneticPr fontId="1" type="noConversion"/>
  </si>
  <si>
    <t>식품의 비타민C함량</t>
    <phoneticPr fontId="1" type="noConversion"/>
  </si>
  <si>
    <t xml:space="preserve">가능해가 된다 </t>
    <phoneticPr fontId="1" type="noConversion"/>
  </si>
  <si>
    <t>구입비용=340x1.8+270x1.4=990</t>
    <phoneticPr fontId="1" type="noConversion"/>
  </si>
  <si>
    <t>최적해가 될수있다</t>
    <phoneticPr fontId="1" type="noConversion"/>
  </si>
  <si>
    <t>(3) &lt;상보여유정리&gt;</t>
    <phoneticPr fontId="1" type="noConversion"/>
  </si>
  <si>
    <t>3.(5) 판매금액 변동</t>
    <phoneticPr fontId="1" type="noConversion"/>
  </si>
  <si>
    <t>4.(3)</t>
    <phoneticPr fontId="1" type="noConversion"/>
  </si>
  <si>
    <t>식품 1,2,3,6의 경우 여유가 있음</t>
    <phoneticPr fontId="1" type="noConversion"/>
  </si>
  <si>
    <t>이 네 제약에 대한 쌍대변수값은 0이되어야한다</t>
    <phoneticPr fontId="1" type="noConversion"/>
  </si>
  <si>
    <t>제약식을 여유있게 만족하고 쌍대가능해에서 원본 제약식에 대한 쌍대변수의 값(잠재가격)은0</t>
    <phoneticPr fontId="1" type="noConversion"/>
  </si>
  <si>
    <t>?</t>
    <phoneticPr fontId="1" type="noConversion"/>
  </si>
  <si>
    <t>그냥 피벗연산한번한 표가 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</si>
</sst>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indexed="1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C944-1B46-2947-8029-5E305785619B}">
  <dimension ref="A1:K19"/>
  <sheetViews>
    <sheetView topLeftCell="A2" workbookViewId="0">
      <selection activeCell="E17" sqref="E17"/>
    </sheetView>
  </sheetViews>
  <sheetFormatPr baseColWidth="10" defaultRowHeight="18"/>
  <cols>
    <col min="1" max="1" width="16.5703125" customWidth="1"/>
  </cols>
  <sheetData>
    <row r="1" spans="1:11">
      <c r="A1" t="s">
        <v>0</v>
      </c>
    </row>
    <row r="2" spans="1:11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</row>
    <row r="3" spans="1:11">
      <c r="B3">
        <v>0</v>
      </c>
      <c r="C3">
        <v>0</v>
      </c>
      <c r="D3">
        <v>0</v>
      </c>
      <c r="E3">
        <v>3.5</v>
      </c>
      <c r="F3">
        <v>0</v>
      </c>
      <c r="G3">
        <v>0</v>
      </c>
      <c r="H3" t="s">
        <v>8</v>
      </c>
      <c r="I3">
        <v>1180</v>
      </c>
      <c r="J3" t="s">
        <v>9</v>
      </c>
      <c r="K3" t="s">
        <v>10</v>
      </c>
    </row>
    <row r="4" spans="1:11">
      <c r="B4">
        <v>0</v>
      </c>
      <c r="C4">
        <v>1</v>
      </c>
      <c r="D4">
        <v>-0.2</v>
      </c>
      <c r="E4">
        <v>0.4</v>
      </c>
      <c r="F4">
        <v>0</v>
      </c>
      <c r="G4">
        <v>0</v>
      </c>
      <c r="H4" t="s">
        <v>8</v>
      </c>
      <c r="I4">
        <v>32</v>
      </c>
      <c r="J4">
        <v>2</v>
      </c>
      <c r="K4">
        <v>32</v>
      </c>
    </row>
    <row r="5" spans="1:11">
      <c r="B5">
        <v>0</v>
      </c>
      <c r="C5">
        <v>0</v>
      </c>
      <c r="D5">
        <v>-0.8</v>
      </c>
      <c r="E5">
        <v>0.6</v>
      </c>
      <c r="F5">
        <v>1</v>
      </c>
      <c r="G5">
        <v>0</v>
      </c>
      <c r="H5" t="s">
        <v>8</v>
      </c>
      <c r="I5">
        <v>28</v>
      </c>
      <c r="J5">
        <v>5</v>
      </c>
      <c r="K5">
        <v>28</v>
      </c>
    </row>
    <row r="6" spans="1:11">
      <c r="B6">
        <v>1</v>
      </c>
      <c r="C6">
        <v>0</v>
      </c>
      <c r="D6">
        <v>0.2</v>
      </c>
      <c r="E6">
        <v>-0.15</v>
      </c>
      <c r="F6">
        <v>0</v>
      </c>
      <c r="G6">
        <v>0</v>
      </c>
      <c r="H6" t="s">
        <v>8</v>
      </c>
      <c r="I6">
        <v>18</v>
      </c>
      <c r="J6">
        <v>1</v>
      </c>
      <c r="K6">
        <v>18</v>
      </c>
    </row>
    <row r="7" spans="1:11">
      <c r="B7">
        <v>0</v>
      </c>
      <c r="C7">
        <v>0</v>
      </c>
      <c r="D7">
        <v>0.2</v>
      </c>
      <c r="E7">
        <v>-0.4</v>
      </c>
      <c r="F7">
        <v>0</v>
      </c>
      <c r="G7">
        <v>1</v>
      </c>
      <c r="H7" t="s">
        <v>8</v>
      </c>
      <c r="I7">
        <v>8</v>
      </c>
      <c r="J7">
        <v>6</v>
      </c>
      <c r="K7">
        <v>8</v>
      </c>
    </row>
    <row r="8" spans="1:11">
      <c r="B8" t="s">
        <v>73</v>
      </c>
    </row>
    <row r="10" spans="1:11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I10" t="s">
        <v>7</v>
      </c>
    </row>
    <row r="11" spans="1:11">
      <c r="B11">
        <f t="shared" ref="B11:I11" si="0">B3-B$15*$D3</f>
        <v>0</v>
      </c>
      <c r="C11">
        <f t="shared" si="0"/>
        <v>0</v>
      </c>
      <c r="D11">
        <f>D3-D$15*$D3</f>
        <v>0</v>
      </c>
      <c r="E11">
        <f t="shared" si="0"/>
        <v>3.5</v>
      </c>
      <c r="F11">
        <f t="shared" si="0"/>
        <v>0</v>
      </c>
      <c r="G11">
        <f t="shared" si="0"/>
        <v>0</v>
      </c>
      <c r="H11" t="s">
        <v>8</v>
      </c>
      <c r="I11">
        <f t="shared" si="0"/>
        <v>1180</v>
      </c>
      <c r="J11" t="s">
        <v>9</v>
      </c>
      <c r="K11" t="s">
        <v>10</v>
      </c>
    </row>
    <row r="12" spans="1:11">
      <c r="B12">
        <f t="shared" ref="B12:I12" si="1">B4-B$15*$D4</f>
        <v>0</v>
      </c>
      <c r="C12">
        <f t="shared" si="1"/>
        <v>1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1</v>
      </c>
      <c r="H12" t="s">
        <v>8</v>
      </c>
      <c r="I12">
        <f t="shared" si="1"/>
        <v>40</v>
      </c>
      <c r="J12">
        <v>2</v>
      </c>
      <c r="K12">
        <v>40</v>
      </c>
    </row>
    <row r="13" spans="1:11">
      <c r="B13">
        <f t="shared" ref="B13:I13" si="2">B5-B$15*$D5</f>
        <v>0</v>
      </c>
      <c r="C13">
        <f t="shared" si="2"/>
        <v>0</v>
      </c>
      <c r="D13">
        <f t="shared" si="2"/>
        <v>0</v>
      </c>
      <c r="E13">
        <f t="shared" si="2"/>
        <v>-1</v>
      </c>
      <c r="F13">
        <f t="shared" si="2"/>
        <v>1</v>
      </c>
      <c r="G13">
        <f t="shared" si="2"/>
        <v>4</v>
      </c>
      <c r="H13" t="s">
        <v>8</v>
      </c>
      <c r="I13">
        <f t="shared" si="2"/>
        <v>60</v>
      </c>
      <c r="J13">
        <v>5</v>
      </c>
      <c r="K13">
        <v>60</v>
      </c>
    </row>
    <row r="14" spans="1:11">
      <c r="B14">
        <f t="shared" ref="B14:I14" si="3">B6-B$15*$D6</f>
        <v>1</v>
      </c>
      <c r="C14">
        <f t="shared" si="3"/>
        <v>0</v>
      </c>
      <c r="D14">
        <f t="shared" si="3"/>
        <v>0</v>
      </c>
      <c r="E14">
        <f t="shared" si="3"/>
        <v>0.25</v>
      </c>
      <c r="F14">
        <f t="shared" si="3"/>
        <v>0</v>
      </c>
      <c r="G14">
        <f t="shared" si="3"/>
        <v>-1</v>
      </c>
      <c r="H14" t="s">
        <v>8</v>
      </c>
      <c r="I14">
        <f t="shared" si="3"/>
        <v>10</v>
      </c>
      <c r="J14">
        <v>1</v>
      </c>
      <c r="K14">
        <v>10</v>
      </c>
    </row>
    <row r="15" spans="1:11">
      <c r="B15">
        <f t="shared" ref="B15:I15" si="4">B7/$D$7</f>
        <v>0</v>
      </c>
      <c r="C15">
        <f t="shared" si="4"/>
        <v>0</v>
      </c>
      <c r="D15">
        <f>D7/$D$7</f>
        <v>1</v>
      </c>
      <c r="E15">
        <f t="shared" si="4"/>
        <v>-2</v>
      </c>
      <c r="F15">
        <f t="shared" si="4"/>
        <v>0</v>
      </c>
      <c r="G15">
        <f t="shared" si="4"/>
        <v>5</v>
      </c>
      <c r="H15" t="s">
        <v>8</v>
      </c>
      <c r="I15">
        <f t="shared" si="4"/>
        <v>40</v>
      </c>
      <c r="J15">
        <v>3</v>
      </c>
      <c r="K15">
        <v>40</v>
      </c>
    </row>
    <row r="16" spans="1:11">
      <c r="A16" t="s">
        <v>71</v>
      </c>
      <c r="B16" t="s">
        <v>74</v>
      </c>
      <c r="E16" t="s">
        <v>149</v>
      </c>
    </row>
    <row r="18" spans="1:5">
      <c r="A18" t="s">
        <v>72</v>
      </c>
      <c r="C18" t="s">
        <v>70</v>
      </c>
      <c r="E18" t="s">
        <v>148</v>
      </c>
    </row>
    <row r="19" spans="1:5">
      <c r="C19" t="s">
        <v>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BCB3-8099-904B-948C-B716492E1588}">
  <dimension ref="A1:R19"/>
  <sheetViews>
    <sheetView workbookViewId="0">
      <selection activeCell="A3" sqref="A3:G8"/>
    </sheetView>
  </sheetViews>
  <sheetFormatPr baseColWidth="10" defaultRowHeight="18"/>
  <cols>
    <col min="1" max="1" width="13.42578125" customWidth="1"/>
  </cols>
  <sheetData>
    <row r="1" spans="1:18">
      <c r="A1" t="s">
        <v>11</v>
      </c>
      <c r="I1" t="s">
        <v>68</v>
      </c>
    </row>
    <row r="2" spans="1:18"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</row>
    <row r="3" spans="1:18">
      <c r="A3" t="s">
        <v>12</v>
      </c>
      <c r="I3">
        <v>350</v>
      </c>
      <c r="J3">
        <v>300</v>
      </c>
      <c r="K3">
        <v>500</v>
      </c>
      <c r="L3">
        <v>340</v>
      </c>
      <c r="M3">
        <v>270</v>
      </c>
      <c r="N3">
        <v>400</v>
      </c>
      <c r="O3">
        <v>1000</v>
      </c>
      <c r="P3">
        <v>1000</v>
      </c>
      <c r="Q3" t="s">
        <v>8</v>
      </c>
    </row>
    <row r="4" spans="1:18">
      <c r="B4" t="s">
        <v>13</v>
      </c>
      <c r="I4">
        <v>10</v>
      </c>
      <c r="J4">
        <v>0</v>
      </c>
      <c r="K4">
        <v>20</v>
      </c>
      <c r="L4">
        <v>20</v>
      </c>
      <c r="M4">
        <v>10</v>
      </c>
      <c r="N4">
        <v>20</v>
      </c>
      <c r="O4">
        <v>-1</v>
      </c>
      <c r="Q4" t="s">
        <v>8</v>
      </c>
      <c r="R4">
        <v>50</v>
      </c>
    </row>
    <row r="5" spans="1:18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I5">
        <v>0</v>
      </c>
      <c r="J5">
        <v>10</v>
      </c>
      <c r="K5">
        <v>30</v>
      </c>
      <c r="L5">
        <v>10</v>
      </c>
      <c r="M5">
        <v>30</v>
      </c>
      <c r="N5">
        <v>20</v>
      </c>
      <c r="Q5" t="s">
        <v>8</v>
      </c>
      <c r="R5">
        <v>60</v>
      </c>
    </row>
    <row r="6" spans="1:18">
      <c r="A6" t="s">
        <v>20</v>
      </c>
      <c r="B6" s="9">
        <v>10</v>
      </c>
      <c r="C6" s="9">
        <v>0</v>
      </c>
      <c r="D6" s="9">
        <v>20</v>
      </c>
      <c r="E6" s="9">
        <v>20</v>
      </c>
      <c r="F6" s="9">
        <v>10</v>
      </c>
      <c r="G6" s="9">
        <v>20</v>
      </c>
    </row>
    <row r="7" spans="1:18">
      <c r="A7" t="s">
        <v>21</v>
      </c>
      <c r="B7" s="9">
        <v>0</v>
      </c>
      <c r="C7" s="9">
        <v>10</v>
      </c>
      <c r="D7" s="9">
        <v>30</v>
      </c>
      <c r="E7" s="9">
        <v>10</v>
      </c>
      <c r="F7" s="9">
        <v>30</v>
      </c>
      <c r="G7" s="9">
        <v>20</v>
      </c>
      <c r="I7" s="9" t="s">
        <v>75</v>
      </c>
    </row>
    <row r="8" spans="1:18">
      <c r="A8" t="s">
        <v>22</v>
      </c>
      <c r="B8" s="9">
        <v>350</v>
      </c>
      <c r="C8" s="9">
        <v>300</v>
      </c>
      <c r="D8" s="9">
        <v>500</v>
      </c>
      <c r="E8" s="9">
        <v>340</v>
      </c>
      <c r="F8" s="9">
        <v>270</v>
      </c>
      <c r="G8" s="9">
        <v>400</v>
      </c>
    </row>
    <row r="11" spans="1:18" ht="19" thickBot="1">
      <c r="A11" t="s">
        <v>25</v>
      </c>
    </row>
    <row r="12" spans="1:18" ht="19" thickBot="1">
      <c r="A12" t="s">
        <v>26</v>
      </c>
      <c r="B12" s="6">
        <v>0</v>
      </c>
      <c r="C12" s="7">
        <v>0</v>
      </c>
      <c r="D12" s="7">
        <v>0</v>
      </c>
      <c r="E12" s="7">
        <v>1.7999999999999998</v>
      </c>
      <c r="F12" s="7">
        <v>1.4000000000000001</v>
      </c>
      <c r="G12" s="8">
        <v>0</v>
      </c>
    </row>
    <row r="14" spans="1:18">
      <c r="A14" t="s">
        <v>23</v>
      </c>
    </row>
    <row r="15" spans="1:18">
      <c r="D15" t="s">
        <v>30</v>
      </c>
    </row>
    <row r="16" spans="1:18">
      <c r="A16" t="s">
        <v>27</v>
      </c>
      <c r="B16">
        <f>SUMPRODUCT(B6:G6,B12:G12)</f>
        <v>50</v>
      </c>
      <c r="C16" t="s">
        <v>29</v>
      </c>
      <c r="D16" s="9">
        <v>50</v>
      </c>
      <c r="E16" t="s">
        <v>24</v>
      </c>
    </row>
    <row r="17" spans="1:5">
      <c r="A17" t="s">
        <v>28</v>
      </c>
      <c r="B17">
        <f>SUMPRODUCT(B7:G7,B12:G12)</f>
        <v>60.000000000000007</v>
      </c>
      <c r="C17" t="s">
        <v>29</v>
      </c>
      <c r="D17" s="9">
        <v>60</v>
      </c>
      <c r="E17" t="s">
        <v>31</v>
      </c>
    </row>
    <row r="19" spans="1:5">
      <c r="A19" t="s">
        <v>32</v>
      </c>
      <c r="B19">
        <f>SUMPRODUCT(B8:G8,B12:G12)</f>
        <v>990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BC4D-633F-E04F-9FAB-96A174E81E91}">
  <dimension ref="A1:H20"/>
  <sheetViews>
    <sheetView showGridLines="0" tabSelected="1" topLeftCell="A7" workbookViewId="0">
      <selection sqref="A1:A3"/>
    </sheetView>
  </sheetViews>
  <sheetFormatPr baseColWidth="10" defaultRowHeight="18"/>
  <cols>
    <col min="1" max="1" width="2.28515625" customWidth="1"/>
    <col min="2" max="2" width="7" bestFit="1" customWidth="1"/>
    <col min="3" max="3" width="20" bestFit="1" customWidth="1"/>
    <col min="4" max="5" width="5.140625" bestFit="1" customWidth="1"/>
    <col min="6" max="8" width="9.140625" bestFit="1" customWidth="1"/>
  </cols>
  <sheetData>
    <row r="1" spans="1:8">
      <c r="A1" s="1" t="s">
        <v>33</v>
      </c>
    </row>
    <row r="2" spans="1:8">
      <c r="A2" s="1" t="s">
        <v>34</v>
      </c>
    </row>
    <row r="3" spans="1:8">
      <c r="A3" s="1" t="s">
        <v>35</v>
      </c>
    </row>
    <row r="6" spans="1:8" ht="19" thickBot="1">
      <c r="A6" t="s">
        <v>36</v>
      </c>
    </row>
    <row r="7" spans="1:8">
      <c r="B7" s="4"/>
      <c r="C7" s="4"/>
      <c r="D7" s="4" t="s">
        <v>39</v>
      </c>
      <c r="E7" s="4" t="s">
        <v>41</v>
      </c>
      <c r="F7" s="4" t="s">
        <v>43</v>
      </c>
      <c r="G7" s="4" t="s">
        <v>45</v>
      </c>
      <c r="H7" s="4" t="s">
        <v>45</v>
      </c>
    </row>
    <row r="8" spans="1:8" ht="19" thickBot="1">
      <c r="B8" s="5" t="s">
        <v>37</v>
      </c>
      <c r="C8" s="5" t="s">
        <v>38</v>
      </c>
      <c r="D8" s="5" t="s">
        <v>40</v>
      </c>
      <c r="E8" s="5" t="s">
        <v>42</v>
      </c>
      <c r="F8" s="5" t="s">
        <v>44</v>
      </c>
      <c r="G8" s="5" t="s">
        <v>46</v>
      </c>
      <c r="H8" s="5" t="s">
        <v>47</v>
      </c>
    </row>
    <row r="9" spans="1:8">
      <c r="B9" s="2" t="s">
        <v>52</v>
      </c>
      <c r="C9" s="2" t="s">
        <v>53</v>
      </c>
      <c r="D9" s="2">
        <v>0</v>
      </c>
      <c r="E9" s="2">
        <v>200</v>
      </c>
      <c r="F9" s="2">
        <v>350</v>
      </c>
      <c r="G9" s="2">
        <v>1E+30</v>
      </c>
      <c r="H9" s="2">
        <v>200</v>
      </c>
    </row>
    <row r="10" spans="1:8">
      <c r="B10" s="2" t="s">
        <v>54</v>
      </c>
      <c r="C10" s="2" t="s">
        <v>55</v>
      </c>
      <c r="D10" s="2">
        <v>0</v>
      </c>
      <c r="E10" s="2">
        <v>260</v>
      </c>
      <c r="F10" s="2">
        <v>300</v>
      </c>
      <c r="G10" s="2">
        <v>1E+30</v>
      </c>
      <c r="H10" s="2">
        <v>260</v>
      </c>
    </row>
    <row r="11" spans="1:8">
      <c r="B11" s="2" t="s">
        <v>56</v>
      </c>
      <c r="C11" s="2" t="s">
        <v>57</v>
      </c>
      <c r="D11" s="2">
        <v>0</v>
      </c>
      <c r="E11" s="2">
        <v>80</v>
      </c>
      <c r="F11" s="2">
        <v>500</v>
      </c>
      <c r="G11" s="2">
        <v>1E+30</v>
      </c>
      <c r="H11" s="2">
        <v>80</v>
      </c>
    </row>
    <row r="12" spans="1:8">
      <c r="B12" s="2" t="s">
        <v>58</v>
      </c>
      <c r="C12" s="2" t="s">
        <v>59</v>
      </c>
      <c r="D12" s="2">
        <v>1.7999999999999998</v>
      </c>
      <c r="E12" s="2">
        <v>0</v>
      </c>
      <c r="F12" s="2">
        <v>340</v>
      </c>
      <c r="G12" s="2">
        <v>25</v>
      </c>
      <c r="H12" s="2">
        <v>250</v>
      </c>
    </row>
    <row r="13" spans="1:8">
      <c r="B13" s="2" t="s">
        <v>60</v>
      </c>
      <c r="C13" s="2" t="s">
        <v>61</v>
      </c>
      <c r="D13" s="2">
        <v>1.4000000000000001</v>
      </c>
      <c r="E13" s="2">
        <v>0</v>
      </c>
      <c r="F13" s="2">
        <v>270</v>
      </c>
      <c r="G13" s="2">
        <v>50.000000000000007</v>
      </c>
      <c r="H13" s="2">
        <v>100.00000000000001</v>
      </c>
    </row>
    <row r="14" spans="1:8" ht="19" thickBot="1">
      <c r="B14" s="3" t="s">
        <v>62</v>
      </c>
      <c r="C14" s="3" t="s">
        <v>63</v>
      </c>
      <c r="D14" s="3">
        <v>0</v>
      </c>
      <c r="E14" s="3">
        <v>20</v>
      </c>
      <c r="F14" s="3">
        <v>400</v>
      </c>
      <c r="G14" s="3">
        <v>1E+30</v>
      </c>
      <c r="H14" s="3">
        <v>20</v>
      </c>
    </row>
    <row r="16" spans="1:8" ht="19" thickBot="1">
      <c r="A16" t="s">
        <v>48</v>
      </c>
    </row>
    <row r="17" spans="2:8">
      <c r="B17" s="4"/>
      <c r="C17" s="4"/>
      <c r="D17" s="4" t="s">
        <v>39</v>
      </c>
      <c r="E17" s="4" t="s">
        <v>49</v>
      </c>
      <c r="F17" s="4" t="s">
        <v>48</v>
      </c>
      <c r="G17" s="4" t="s">
        <v>45</v>
      </c>
      <c r="H17" s="4" t="s">
        <v>45</v>
      </c>
    </row>
    <row r="18" spans="2:8" ht="19" thickBot="1">
      <c r="B18" s="5" t="s">
        <v>37</v>
      </c>
      <c r="C18" s="5" t="s">
        <v>38</v>
      </c>
      <c r="D18" s="5" t="s">
        <v>40</v>
      </c>
      <c r="E18" s="5" t="s">
        <v>50</v>
      </c>
      <c r="F18" s="5" t="s">
        <v>51</v>
      </c>
      <c r="G18" s="5" t="s">
        <v>46</v>
      </c>
      <c r="H18" s="5" t="s">
        <v>47</v>
      </c>
    </row>
    <row r="19" spans="2:8">
      <c r="B19" s="2" t="s">
        <v>64</v>
      </c>
      <c r="C19" s="2" t="s">
        <v>65</v>
      </c>
      <c r="D19" s="2">
        <v>50</v>
      </c>
      <c r="E19" s="2">
        <v>15</v>
      </c>
      <c r="F19" s="2">
        <v>50</v>
      </c>
      <c r="G19" s="2">
        <v>70.000000000000014</v>
      </c>
      <c r="H19" s="2">
        <v>29.999999999999996</v>
      </c>
    </row>
    <row r="20" spans="2:8" ht="19" thickBot="1">
      <c r="B20" s="3" t="s">
        <v>66</v>
      </c>
      <c r="C20" s="3" t="s">
        <v>67</v>
      </c>
      <c r="D20" s="3">
        <v>60.000000000000007</v>
      </c>
      <c r="E20" s="3">
        <v>4.0000000000000009</v>
      </c>
      <c r="F20" s="3">
        <v>60</v>
      </c>
      <c r="G20" s="3">
        <v>90</v>
      </c>
      <c r="H20" s="3">
        <v>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DB77-0E36-E54E-920B-62FE98B1CA1C}">
  <dimension ref="A1:M32"/>
  <sheetViews>
    <sheetView topLeftCell="A9" workbookViewId="0">
      <selection activeCell="J13" sqref="J13"/>
    </sheetView>
  </sheetViews>
  <sheetFormatPr baseColWidth="10" defaultRowHeight="18"/>
  <cols>
    <col min="1" max="1" width="18" customWidth="1"/>
  </cols>
  <sheetData>
    <row r="1" spans="1:7">
      <c r="A1" t="s">
        <v>76</v>
      </c>
    </row>
    <row r="3" spans="1:7">
      <c r="A3" t="s">
        <v>12</v>
      </c>
    </row>
    <row r="4" spans="1:7">
      <c r="B4" t="s">
        <v>13</v>
      </c>
    </row>
    <row r="5" spans="1:7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7">
      <c r="A6" t="s">
        <v>20</v>
      </c>
      <c r="B6" s="9">
        <v>10</v>
      </c>
      <c r="C6" s="9">
        <v>0</v>
      </c>
      <c r="D6" s="9">
        <v>20</v>
      </c>
      <c r="E6" s="9">
        <v>20</v>
      </c>
      <c r="F6" s="9">
        <v>10</v>
      </c>
      <c r="G6" s="9">
        <v>20</v>
      </c>
    </row>
    <row r="7" spans="1:7">
      <c r="A7" t="s">
        <v>21</v>
      </c>
      <c r="B7" s="9">
        <v>0</v>
      </c>
      <c r="C7" s="9">
        <v>10</v>
      </c>
      <c r="D7" s="9">
        <v>30</v>
      </c>
      <c r="E7" s="9">
        <v>10</v>
      </c>
      <c r="F7" s="9">
        <v>30</v>
      </c>
      <c r="G7" s="9">
        <v>20</v>
      </c>
    </row>
    <row r="8" spans="1:7">
      <c r="A8" t="s">
        <v>22</v>
      </c>
      <c r="B8" s="9">
        <v>350</v>
      </c>
      <c r="C8" s="9">
        <v>300</v>
      </c>
      <c r="D8" s="9">
        <v>500</v>
      </c>
      <c r="E8" s="9">
        <v>340</v>
      </c>
      <c r="F8" s="9">
        <v>270</v>
      </c>
      <c r="G8" s="9">
        <v>400</v>
      </c>
    </row>
    <row r="10" spans="1:7">
      <c r="A10" t="s">
        <v>23</v>
      </c>
    </row>
    <row r="11" spans="1:7">
      <c r="A11" t="s">
        <v>77</v>
      </c>
      <c r="B11" t="s">
        <v>80</v>
      </c>
      <c r="D11" t="s">
        <v>81</v>
      </c>
      <c r="E11" t="s">
        <v>82</v>
      </c>
    </row>
    <row r="12" spans="1:7">
      <c r="A12" t="s">
        <v>78</v>
      </c>
      <c r="B12">
        <v>15</v>
      </c>
      <c r="D12">
        <v>50</v>
      </c>
      <c r="E12" t="s">
        <v>83</v>
      </c>
    </row>
    <row r="13" spans="1:7">
      <c r="A13" t="s">
        <v>79</v>
      </c>
      <c r="B13">
        <v>4</v>
      </c>
      <c r="D13">
        <v>60</v>
      </c>
      <c r="E13" t="s">
        <v>84</v>
      </c>
    </row>
    <row r="15" spans="1:7">
      <c r="A15" t="s">
        <v>85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</row>
    <row r="16" spans="1:7">
      <c r="A16" t="s">
        <v>86</v>
      </c>
      <c r="B16">
        <f>SUMPRODUCT(B6:B7,$B$12:$B$13)</f>
        <v>150</v>
      </c>
      <c r="C16">
        <f t="shared" ref="C16:G16" si="0">SUMPRODUCT(C6:C7,$B$12:$B$13)</f>
        <v>40</v>
      </c>
      <c r="D16">
        <f t="shared" si="0"/>
        <v>420</v>
      </c>
      <c r="E16">
        <f t="shared" si="0"/>
        <v>340</v>
      </c>
      <c r="F16">
        <f t="shared" si="0"/>
        <v>270</v>
      </c>
      <c r="G16">
        <f t="shared" si="0"/>
        <v>380</v>
      </c>
    </row>
    <row r="17" spans="1:13">
      <c r="B17" t="s">
        <v>88</v>
      </c>
      <c r="C17" t="s">
        <v>88</v>
      </c>
      <c r="D17" t="s">
        <v>88</v>
      </c>
      <c r="E17" t="s">
        <v>88</v>
      </c>
      <c r="F17" t="s">
        <v>88</v>
      </c>
      <c r="G17" t="s">
        <v>88</v>
      </c>
    </row>
    <row r="18" spans="1:13">
      <c r="A18" t="s">
        <v>87</v>
      </c>
      <c r="B18" s="9">
        <v>350</v>
      </c>
      <c r="C18" s="9">
        <v>300</v>
      </c>
      <c r="D18" s="9">
        <v>500</v>
      </c>
      <c r="E18" s="9">
        <v>340</v>
      </c>
      <c r="F18" s="9">
        <v>270</v>
      </c>
      <c r="G18" s="9">
        <v>400</v>
      </c>
    </row>
    <row r="20" spans="1:13">
      <c r="B20" t="s">
        <v>80</v>
      </c>
    </row>
    <row r="21" spans="1:13">
      <c r="A21" t="s">
        <v>89</v>
      </c>
      <c r="B21">
        <f>SUMPRODUCT(D12:D13,B12:B13)</f>
        <v>990</v>
      </c>
    </row>
    <row r="24" spans="1:13">
      <c r="A24" t="s">
        <v>90</v>
      </c>
      <c r="E24" t="s">
        <v>99</v>
      </c>
      <c r="G24" t="s">
        <v>100</v>
      </c>
      <c r="K24" t="s">
        <v>121</v>
      </c>
      <c r="M24" t="s">
        <v>122</v>
      </c>
    </row>
    <row r="25" spans="1:13">
      <c r="B25" t="s">
        <v>91</v>
      </c>
      <c r="G25" t="s">
        <v>101</v>
      </c>
    </row>
    <row r="26" spans="1:13">
      <c r="B26" t="s">
        <v>92</v>
      </c>
      <c r="G26" t="s">
        <v>102</v>
      </c>
    </row>
    <row r="27" spans="1:13">
      <c r="B27" t="s">
        <v>93</v>
      </c>
      <c r="G27" t="s">
        <v>103</v>
      </c>
    </row>
    <row r="28" spans="1:13">
      <c r="B28" t="s">
        <v>98</v>
      </c>
      <c r="G28" t="s">
        <v>104</v>
      </c>
    </row>
    <row r="29" spans="1:13">
      <c r="B29" t="s">
        <v>97</v>
      </c>
    </row>
    <row r="30" spans="1:13">
      <c r="B30" t="s">
        <v>96</v>
      </c>
    </row>
    <row r="31" spans="1:13">
      <c r="B31" t="s">
        <v>95</v>
      </c>
    </row>
    <row r="32" spans="1:13">
      <c r="B32" t="s">
        <v>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DB9E-E093-5C49-A76F-6743F3B7470A}">
  <dimension ref="A1:G34"/>
  <sheetViews>
    <sheetView topLeftCell="A21" workbookViewId="0">
      <selection activeCell="B16" sqref="B16"/>
    </sheetView>
  </sheetViews>
  <sheetFormatPr baseColWidth="10" defaultRowHeight="18"/>
  <sheetData>
    <row r="1" spans="1:7">
      <c r="A1" t="s">
        <v>124</v>
      </c>
    </row>
    <row r="3" spans="1:7">
      <c r="A3" t="s">
        <v>12</v>
      </c>
    </row>
    <row r="4" spans="1:7">
      <c r="B4" t="s">
        <v>13</v>
      </c>
    </row>
    <row r="5" spans="1:7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7">
      <c r="A6" t="s">
        <v>20</v>
      </c>
      <c r="B6" s="9">
        <v>10</v>
      </c>
      <c r="C6" s="9">
        <v>0</v>
      </c>
      <c r="D6" s="9">
        <v>20</v>
      </c>
      <c r="E6" s="9">
        <v>20</v>
      </c>
      <c r="F6" s="9">
        <v>10</v>
      </c>
      <c r="G6" s="9">
        <v>20</v>
      </c>
    </row>
    <row r="7" spans="1:7">
      <c r="A7" t="s">
        <v>21</v>
      </c>
      <c r="B7" s="9">
        <v>0</v>
      </c>
      <c r="C7" s="9">
        <v>10</v>
      </c>
      <c r="D7" s="9">
        <v>30</v>
      </c>
      <c r="E7" s="9">
        <v>10</v>
      </c>
      <c r="F7" s="9">
        <v>30</v>
      </c>
      <c r="G7" s="9">
        <v>20</v>
      </c>
    </row>
    <row r="8" spans="1:7">
      <c r="A8" t="s">
        <v>22</v>
      </c>
      <c r="B8" s="9">
        <v>350</v>
      </c>
      <c r="C8" s="9">
        <v>300</v>
      </c>
      <c r="D8" s="9">
        <v>500</v>
      </c>
      <c r="E8" s="9">
        <v>340</v>
      </c>
      <c r="F8" s="9">
        <v>270</v>
      </c>
      <c r="G8" s="9">
        <v>400</v>
      </c>
    </row>
    <row r="10" spans="1:7">
      <c r="A10" t="s">
        <v>23</v>
      </c>
    </row>
    <row r="11" spans="1:7">
      <c r="A11" t="s">
        <v>77</v>
      </c>
      <c r="B11" t="s">
        <v>80</v>
      </c>
      <c r="D11" t="s">
        <v>81</v>
      </c>
      <c r="E11" t="s">
        <v>82</v>
      </c>
    </row>
    <row r="12" spans="1:7">
      <c r="A12" t="s">
        <v>78</v>
      </c>
      <c r="B12">
        <v>15</v>
      </c>
      <c r="D12">
        <v>50</v>
      </c>
      <c r="E12" t="s">
        <v>83</v>
      </c>
    </row>
    <row r="13" spans="1:7">
      <c r="A13" t="s">
        <v>79</v>
      </c>
      <c r="B13">
        <v>4</v>
      </c>
      <c r="D13">
        <v>60</v>
      </c>
      <c r="E13" t="s">
        <v>84</v>
      </c>
    </row>
    <row r="15" spans="1:7">
      <c r="A15" t="s">
        <v>85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</row>
    <row r="16" spans="1:7">
      <c r="A16" t="s">
        <v>86</v>
      </c>
      <c r="B16">
        <f>SUMPRODUCT(B6:B7,$B$12:$B$13)</f>
        <v>150</v>
      </c>
      <c r="C16">
        <f t="shared" ref="C16:G16" si="0">SUMPRODUCT(C6:C7,$B$12:$B$13)</f>
        <v>40</v>
      </c>
      <c r="D16">
        <f t="shared" si="0"/>
        <v>420</v>
      </c>
      <c r="E16">
        <f t="shared" si="0"/>
        <v>340</v>
      </c>
      <c r="F16">
        <f t="shared" si="0"/>
        <v>270</v>
      </c>
      <c r="G16">
        <f t="shared" si="0"/>
        <v>380</v>
      </c>
    </row>
    <row r="17" spans="1:7">
      <c r="B17" t="s">
        <v>88</v>
      </c>
      <c r="C17" t="s">
        <v>88</v>
      </c>
      <c r="D17" t="s">
        <v>88</v>
      </c>
      <c r="E17" t="s">
        <v>88</v>
      </c>
      <c r="F17" t="s">
        <v>88</v>
      </c>
      <c r="G17" t="s">
        <v>88</v>
      </c>
    </row>
    <row r="18" spans="1:7">
      <c r="A18" t="s">
        <v>87</v>
      </c>
      <c r="B18" s="9">
        <v>350</v>
      </c>
      <c r="C18" s="9">
        <v>300</v>
      </c>
      <c r="D18" s="9">
        <v>500</v>
      </c>
      <c r="E18" s="9">
        <v>340</v>
      </c>
      <c r="F18" s="9">
        <v>270</v>
      </c>
      <c r="G18" s="9">
        <v>400</v>
      </c>
    </row>
    <row r="20" spans="1:7">
      <c r="B20" t="s">
        <v>80</v>
      </c>
    </row>
    <row r="21" spans="1:7">
      <c r="A21" t="s">
        <v>89</v>
      </c>
      <c r="B21">
        <f>SUMPRODUCT(D12:D13,B12:B13)</f>
        <v>990</v>
      </c>
    </row>
    <row r="24" spans="1:7">
      <c r="A24" t="s">
        <v>125</v>
      </c>
      <c r="C24" t="s">
        <v>126</v>
      </c>
      <c r="E24" t="s">
        <v>127</v>
      </c>
    </row>
    <row r="25" spans="1:7">
      <c r="C25" t="s">
        <v>128</v>
      </c>
      <c r="E25" t="s">
        <v>129</v>
      </c>
    </row>
    <row r="26" spans="1:7">
      <c r="C26" t="s">
        <v>130</v>
      </c>
      <c r="D26">
        <v>1130</v>
      </c>
      <c r="E26" t="s">
        <v>131</v>
      </c>
    </row>
    <row r="27" spans="1:7">
      <c r="A27" t="s">
        <v>132</v>
      </c>
      <c r="C27" t="s">
        <v>133</v>
      </c>
    </row>
    <row r="28" spans="1:7">
      <c r="C28" t="s">
        <v>134</v>
      </c>
    </row>
    <row r="29" spans="1:7">
      <c r="C29" t="s">
        <v>135</v>
      </c>
      <c r="E29" t="s">
        <v>136</v>
      </c>
    </row>
    <row r="30" spans="1:7">
      <c r="C30" t="s">
        <v>138</v>
      </c>
      <c r="E30" t="s">
        <v>137</v>
      </c>
    </row>
    <row r="31" spans="1:7">
      <c r="C31" t="s">
        <v>139</v>
      </c>
    </row>
    <row r="32" spans="1:7">
      <c r="C32" t="s">
        <v>140</v>
      </c>
    </row>
    <row r="33" spans="1:3">
      <c r="C33" t="s">
        <v>141</v>
      </c>
    </row>
    <row r="34" spans="1:3">
      <c r="A34" t="s">
        <v>142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DCB3-EE6B-E742-8A8B-9EDFC1301187}">
  <dimension ref="A1:H28"/>
  <sheetViews>
    <sheetView showGridLines="0" topLeftCell="A6" workbookViewId="0">
      <selection activeCell="C29" sqref="C29"/>
    </sheetView>
  </sheetViews>
  <sheetFormatPr baseColWidth="10" defaultRowHeight="18"/>
  <cols>
    <col min="1" max="1" width="2.28515625" customWidth="1"/>
    <col min="2" max="2" width="7" bestFit="1" customWidth="1"/>
    <col min="3" max="3" width="20" bestFit="1" customWidth="1"/>
    <col min="4" max="5" width="5.140625" bestFit="1" customWidth="1"/>
    <col min="6" max="8" width="9.140625" bestFit="1" customWidth="1"/>
  </cols>
  <sheetData>
    <row r="1" spans="1:8">
      <c r="A1" s="1" t="s">
        <v>33</v>
      </c>
    </row>
    <row r="2" spans="1:8">
      <c r="A2" s="1" t="s">
        <v>105</v>
      </c>
    </row>
    <row r="3" spans="1:8">
      <c r="A3" s="1" t="s">
        <v>106</v>
      </c>
    </row>
    <row r="6" spans="1:8" ht="19" thickBot="1">
      <c r="A6" t="s">
        <v>36</v>
      </c>
    </row>
    <row r="7" spans="1:8">
      <c r="B7" s="4"/>
      <c r="C7" s="4"/>
      <c r="D7" s="4" t="s">
        <v>39</v>
      </c>
      <c r="E7" s="4" t="s">
        <v>41</v>
      </c>
      <c r="F7" s="4" t="s">
        <v>43</v>
      </c>
      <c r="G7" s="4" t="s">
        <v>45</v>
      </c>
      <c r="H7" s="4" t="s">
        <v>45</v>
      </c>
    </row>
    <row r="8" spans="1:8" ht="19" thickBot="1">
      <c r="B8" s="5" t="s">
        <v>37</v>
      </c>
      <c r="C8" s="5" t="s">
        <v>38</v>
      </c>
      <c r="D8" s="5" t="s">
        <v>40</v>
      </c>
      <c r="E8" s="5" t="s">
        <v>42</v>
      </c>
      <c r="F8" s="5" t="s">
        <v>44</v>
      </c>
      <c r="G8" s="5" t="s">
        <v>46</v>
      </c>
      <c r="H8" s="5" t="s">
        <v>47</v>
      </c>
    </row>
    <row r="9" spans="1:8">
      <c r="B9" s="2" t="s">
        <v>52</v>
      </c>
      <c r="C9" s="2" t="s">
        <v>107</v>
      </c>
      <c r="D9" s="2">
        <v>15</v>
      </c>
      <c r="E9" s="2">
        <v>0</v>
      </c>
      <c r="F9" s="2">
        <v>50</v>
      </c>
      <c r="G9" s="2">
        <v>70.000000000000014</v>
      </c>
      <c r="H9" s="2">
        <v>29.999999999999996</v>
      </c>
    </row>
    <row r="10" spans="1:8" ht="19" thickBot="1">
      <c r="B10" s="3" t="s">
        <v>108</v>
      </c>
      <c r="C10" s="3" t="s">
        <v>109</v>
      </c>
      <c r="D10" s="3">
        <v>4</v>
      </c>
      <c r="E10" s="3">
        <v>0</v>
      </c>
      <c r="F10" s="3">
        <v>60</v>
      </c>
      <c r="G10" s="3">
        <v>90</v>
      </c>
      <c r="H10" s="3">
        <v>35</v>
      </c>
    </row>
    <row r="12" spans="1:8" ht="19" thickBot="1">
      <c r="A12" t="s">
        <v>48</v>
      </c>
    </row>
    <row r="13" spans="1:8">
      <c r="B13" s="4"/>
      <c r="C13" s="4"/>
      <c r="D13" s="4" t="s">
        <v>39</v>
      </c>
      <c r="E13" s="4" t="s">
        <v>49</v>
      </c>
      <c r="F13" s="4" t="s">
        <v>48</v>
      </c>
      <c r="G13" s="4" t="s">
        <v>45</v>
      </c>
      <c r="H13" s="4" t="s">
        <v>45</v>
      </c>
    </row>
    <row r="14" spans="1:8" ht="19" thickBot="1">
      <c r="B14" s="5" t="s">
        <v>37</v>
      </c>
      <c r="C14" s="5" t="s">
        <v>38</v>
      </c>
      <c r="D14" s="5" t="s">
        <v>40</v>
      </c>
      <c r="E14" s="5" t="s">
        <v>50</v>
      </c>
      <c r="F14" s="5" t="s">
        <v>51</v>
      </c>
      <c r="G14" s="5" t="s">
        <v>46</v>
      </c>
      <c r="H14" s="5" t="s">
        <v>47</v>
      </c>
    </row>
    <row r="15" spans="1:8">
      <c r="B15" s="2" t="s">
        <v>64</v>
      </c>
      <c r="C15" s="2" t="s">
        <v>110</v>
      </c>
      <c r="D15" s="2">
        <v>150</v>
      </c>
      <c r="E15" s="2">
        <v>0</v>
      </c>
      <c r="F15" s="2">
        <v>350</v>
      </c>
      <c r="G15" s="2">
        <v>1E+30</v>
      </c>
      <c r="H15" s="2">
        <v>200</v>
      </c>
    </row>
    <row r="16" spans="1:8">
      <c r="B16" s="2" t="s">
        <v>111</v>
      </c>
      <c r="C16" s="2" t="s">
        <v>112</v>
      </c>
      <c r="D16" s="2">
        <v>40</v>
      </c>
      <c r="E16" s="2">
        <v>0</v>
      </c>
      <c r="F16" s="2">
        <v>300</v>
      </c>
      <c r="G16" s="2">
        <v>1E+30</v>
      </c>
      <c r="H16" s="2">
        <v>260</v>
      </c>
    </row>
    <row r="17" spans="2:8">
      <c r="B17" s="2" t="s">
        <v>113</v>
      </c>
      <c r="C17" s="2" t="s">
        <v>114</v>
      </c>
      <c r="D17" s="2">
        <v>420</v>
      </c>
      <c r="E17" s="2">
        <v>0</v>
      </c>
      <c r="F17" s="2">
        <v>500</v>
      </c>
      <c r="G17" s="2">
        <v>1E+30</v>
      </c>
      <c r="H17" s="2">
        <v>80</v>
      </c>
    </row>
    <row r="18" spans="2:8">
      <c r="B18" s="2" t="s">
        <v>115</v>
      </c>
      <c r="C18" s="2" t="s">
        <v>116</v>
      </c>
      <c r="D18" s="2">
        <v>340</v>
      </c>
      <c r="E18" s="2">
        <v>1.7999999999999998</v>
      </c>
      <c r="F18" s="2">
        <v>340</v>
      </c>
      <c r="G18" s="2">
        <v>25</v>
      </c>
      <c r="H18" s="2">
        <v>250</v>
      </c>
    </row>
    <row r="19" spans="2:8">
      <c r="B19" s="2" t="s">
        <v>117</v>
      </c>
      <c r="C19" s="2" t="s">
        <v>118</v>
      </c>
      <c r="D19" s="2">
        <v>270</v>
      </c>
      <c r="E19" s="2">
        <v>1.4000000000000001</v>
      </c>
      <c r="F19" s="2">
        <v>270</v>
      </c>
      <c r="G19" s="2">
        <v>50.000000000000007</v>
      </c>
      <c r="H19" s="2">
        <v>100</v>
      </c>
    </row>
    <row r="20" spans="2:8" ht="19" thickBot="1">
      <c r="B20" s="3" t="s">
        <v>119</v>
      </c>
      <c r="C20" s="3" t="s">
        <v>120</v>
      </c>
      <c r="D20" s="3">
        <v>380</v>
      </c>
      <c r="E20" s="3">
        <v>0</v>
      </c>
      <c r="F20" s="3">
        <v>400</v>
      </c>
      <c r="G20" s="3">
        <v>1E+30</v>
      </c>
      <c r="H20" s="3">
        <v>20</v>
      </c>
    </row>
    <row r="23" spans="2:8">
      <c r="B23" t="s">
        <v>143</v>
      </c>
    </row>
    <row r="24" spans="2:8">
      <c r="B24" t="s">
        <v>123</v>
      </c>
    </row>
    <row r="26" spans="2:8">
      <c r="B26" t="s">
        <v>144</v>
      </c>
      <c r="C26" t="s">
        <v>145</v>
      </c>
    </row>
    <row r="27" spans="2:8">
      <c r="C27" t="s">
        <v>146</v>
      </c>
    </row>
    <row r="28" spans="2:8">
      <c r="C28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민감도 보고서 1</vt:lpstr>
      <vt:lpstr>Sheet3</vt:lpstr>
      <vt:lpstr>Sheet5</vt:lpstr>
      <vt:lpstr>민감도 보고서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2020-05-16T06:13:40Z</dcterms:created>
  <dcterms:modified xsi:type="dcterms:W3CDTF">2020-05-19T07:01:33Z</dcterms:modified>
</cp:coreProperties>
</file>