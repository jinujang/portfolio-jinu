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ngjnwoo/Google 드라이브/1.실행/대학생활/2학년 1학기/ㄴ 경영과학1 및 실습/1~7주차/"/>
    </mc:Choice>
  </mc:AlternateContent>
  <xr:revisionPtr revIDLastSave="0" documentId="13_ncr:1_{741E5419-76C9-DA4F-AA85-BD98E25A8759}" xr6:coauthVersionLast="45" xr6:coauthVersionMax="45" xr10:uidLastSave="{00000000-0000-0000-0000-000000000000}"/>
  <bookViews>
    <workbookView xWindow="14920" yWindow="460" windowWidth="12440" windowHeight="17040" activeTab="2" xr2:uid="{756CED43-3DDE-6C45-8D4B-DA66A636BE89}"/>
  </bookViews>
  <sheets>
    <sheet name="Sheet1" sheetId="1" r:id="rId1"/>
    <sheet name="민감도 보고서 3" sheetId="4" r:id="rId2"/>
    <sheet name="Sheet5" sheetId="5" r:id="rId3"/>
    <sheet name="민감도 보고서 1" sheetId="6" r:id="rId4"/>
  </sheets>
  <definedNames>
    <definedName name="입력요소가격">Sheet1!$B$10:$D$10</definedName>
    <definedName name="입력요소가치">Sheet5!$B$11:$D$11</definedName>
    <definedName name="출력요소가격">Sheet1!$E$10:$G$10</definedName>
    <definedName name="출력요소가치">Sheet5!$E$11:$G$11</definedName>
    <definedName name="solver_adj" localSheetId="0" hidden="1">Sheet1!$B$10:$G$10</definedName>
    <definedName name="solver_adj" localSheetId="2" hidden="1">Sheet5!$B$11:$G$11</definedName>
    <definedName name="solver_cvg" localSheetId="0" hidden="1">0.0001</definedName>
    <definedName name="solver_cvg" localSheetId="2" hidden="1">0.0001</definedName>
    <definedName name="solver_drv" localSheetId="0" hidden="1">1</definedName>
    <definedName name="solver_drv" localSheetId="2" hidden="1">1</definedName>
    <definedName name="solver_eng" localSheetId="0" hidden="1">2</definedName>
    <definedName name="solver_eng" localSheetId="2" hidden="1">2</definedName>
    <definedName name="solver_itr" localSheetId="0" hidden="1">2147483647</definedName>
    <definedName name="solver_itr" localSheetId="2" hidden="1">2147483647</definedName>
    <definedName name="solver_lhs1" localSheetId="0" hidden="1">Sheet1!$B$17</definedName>
    <definedName name="solver_lhs1" localSheetId="2" hidden="1">Sheet5!$B$14:$B$17</definedName>
    <definedName name="solver_lhs2" localSheetId="0" hidden="1">Sheet1!$D$13:$D$15</definedName>
    <definedName name="solver_lhs2" localSheetId="2" hidden="1">Sheet5!$B$19</definedName>
    <definedName name="solver_lin" localSheetId="0" hidden="1">1</definedName>
    <definedName name="solver_lin" localSheetId="2" hidden="1">1</definedName>
    <definedName name="solver_mip" localSheetId="0" hidden="1">2147483647</definedName>
    <definedName name="solver_mip" localSheetId="2" hidden="1">2147483647</definedName>
    <definedName name="solver_mni" localSheetId="0" hidden="1">30</definedName>
    <definedName name="solver_mni" localSheetId="2" hidden="1">30</definedName>
    <definedName name="solver_mrt" localSheetId="0" hidden="1">0.075</definedName>
    <definedName name="solver_mrt" localSheetId="2" hidden="1">0.075</definedName>
    <definedName name="solver_msl" localSheetId="0" hidden="1">2</definedName>
    <definedName name="solver_msl" localSheetId="2" hidden="1">2</definedName>
    <definedName name="solver_neg" localSheetId="0" hidden="1">1</definedName>
    <definedName name="solver_neg" localSheetId="2" hidden="1">1</definedName>
    <definedName name="solver_nod" localSheetId="0" hidden="1">2147483647</definedName>
    <definedName name="solver_nod" localSheetId="2" hidden="1">2147483647</definedName>
    <definedName name="solver_num" localSheetId="0" hidden="1">2</definedName>
    <definedName name="solver_num" localSheetId="2" hidden="1">2</definedName>
    <definedName name="solver_opt" localSheetId="0" hidden="1">Sheet1!$B$18</definedName>
    <definedName name="solver_opt" localSheetId="2" hidden="1">Sheet5!$B$20</definedName>
    <definedName name="solver_pre" localSheetId="0" hidden="1">0.000001</definedName>
    <definedName name="solver_pre" localSheetId="2" hidden="1">0.000001</definedName>
    <definedName name="solver_rbv" localSheetId="0" hidden="1">1</definedName>
    <definedName name="solver_rbv" localSheetId="2" hidden="1">1</definedName>
    <definedName name="solver_rel1" localSheetId="0" hidden="1">2</definedName>
    <definedName name="solver_rel1" localSheetId="2" hidden="1">3</definedName>
    <definedName name="solver_rel2" localSheetId="0" hidden="1">1</definedName>
    <definedName name="solver_rel2" localSheetId="2" hidden="1">2</definedName>
    <definedName name="solver_rhs1" localSheetId="0" hidden="1">Sheet1!$D$17</definedName>
    <definedName name="solver_rhs1" localSheetId="2" hidden="1">Sheet5!$D$14:$D$17</definedName>
    <definedName name="solver_rhs2" localSheetId="0" hidden="1">Sheet1!$B$13:$B$15</definedName>
    <definedName name="solver_rhs2" localSheetId="2" hidden="1">Sheet5!$D$19</definedName>
    <definedName name="solver_rlx" localSheetId="0" hidden="1">2</definedName>
    <definedName name="solver_rlx" localSheetId="2" hidden="1">2</definedName>
    <definedName name="solver_rsd" localSheetId="0" hidden="1">0</definedName>
    <definedName name="solver_rsd" localSheetId="2" hidden="1">0</definedName>
    <definedName name="solver_scl" localSheetId="0" hidden="1">1</definedName>
    <definedName name="solver_scl" localSheetId="2" hidden="1">1</definedName>
    <definedName name="solver_sho" localSheetId="0" hidden="1">2</definedName>
    <definedName name="solver_sho" localSheetId="2" hidden="1">2</definedName>
    <definedName name="solver_ssz" localSheetId="0" hidden="1">100</definedName>
    <definedName name="solver_ssz" localSheetId="2" hidden="1">100</definedName>
    <definedName name="solver_tim" localSheetId="0" hidden="1">2147483647</definedName>
    <definedName name="solver_tim" localSheetId="2" hidden="1">2147483647</definedName>
    <definedName name="solver_tol" localSheetId="0" hidden="1">0.01</definedName>
    <definedName name="solver_tol" localSheetId="2" hidden="1">0.01</definedName>
    <definedName name="solver_typ" localSheetId="0" hidden="1">1</definedName>
    <definedName name="solver_typ" localSheetId="2" hidden="1">1</definedName>
    <definedName name="solver_val" localSheetId="0" hidden="1">0</definedName>
    <definedName name="solver_val" localSheetId="2" hidden="1">0</definedName>
    <definedName name="solver_ver" localSheetId="0" hidden="1">2</definedName>
    <definedName name="solver_ver" localSheetId="2" hidden="1">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39" i="5" l="1"/>
  <c r="G39" i="5"/>
  <c r="E39" i="5"/>
  <c r="F38" i="5"/>
  <c r="G38" i="5"/>
  <c r="E38" i="5"/>
  <c r="F36" i="5"/>
  <c r="G36" i="5"/>
  <c r="E36" i="5"/>
  <c r="F35" i="5"/>
  <c r="G35" i="5"/>
  <c r="E35" i="5"/>
  <c r="F33" i="5"/>
  <c r="G33" i="5"/>
  <c r="E33" i="5"/>
  <c r="F32" i="5"/>
  <c r="G32" i="5"/>
  <c r="E32" i="5"/>
  <c r="D17" i="5"/>
  <c r="D16" i="5"/>
  <c r="D15" i="5"/>
  <c r="D14" i="5"/>
  <c r="B20" i="5" s="1"/>
  <c r="B17" i="5"/>
  <c r="B16" i="5"/>
  <c r="B15" i="5"/>
  <c r="B14" i="5"/>
  <c r="B19" i="5" s="1"/>
  <c r="C8" i="1"/>
  <c r="D8" i="1"/>
  <c r="E8" i="1"/>
  <c r="F8" i="1"/>
  <c r="G8" i="1"/>
  <c r="B8" i="1"/>
  <c r="D15" i="1"/>
  <c r="B18" i="1" s="1"/>
  <c r="D14" i="1"/>
  <c r="D13" i="1"/>
  <c r="B15" i="1"/>
  <c r="B17" i="1" s="1"/>
  <c r="B14" i="1"/>
  <c r="B13" i="1"/>
</calcChain>
</file>

<file path=xl/sharedStrings.xml><?xml version="1.0" encoding="utf-8"?>
<sst xmlns="http://schemas.openxmlformats.org/spreadsheetml/2006/main" count="176" uniqueCount="112">
  <si>
    <t>수도은행 지점1 자료포락분석</t>
    <phoneticPr fontId="2" type="noConversion"/>
  </si>
  <si>
    <t>입축력 자료</t>
    <phoneticPr fontId="2" type="noConversion"/>
  </si>
  <si>
    <t>지점1</t>
    <phoneticPr fontId="2" type="noConversion"/>
  </si>
  <si>
    <t>지점2</t>
    <phoneticPr fontId="2" type="noConversion"/>
  </si>
  <si>
    <t>지점3</t>
    <phoneticPr fontId="2" type="noConversion"/>
  </si>
  <si>
    <t>입력1</t>
    <phoneticPr fontId="2" type="noConversion"/>
  </si>
  <si>
    <t>입력2</t>
    <phoneticPr fontId="2" type="noConversion"/>
  </si>
  <si>
    <t>입력3</t>
    <phoneticPr fontId="2" type="noConversion"/>
  </si>
  <si>
    <t>출력1</t>
    <phoneticPr fontId="2" type="noConversion"/>
  </si>
  <si>
    <t>출력2</t>
    <phoneticPr fontId="2" type="noConversion"/>
  </si>
  <si>
    <t>출력3</t>
    <phoneticPr fontId="2" type="noConversion"/>
  </si>
  <si>
    <t>입력요소가격</t>
    <phoneticPr fontId="2" type="noConversion"/>
  </si>
  <si>
    <t>출력요소가격</t>
    <phoneticPr fontId="2" type="noConversion"/>
  </si>
  <si>
    <t>입출력 요소가격</t>
    <phoneticPr fontId="2" type="noConversion"/>
  </si>
  <si>
    <t>입출력 효율</t>
    <phoneticPr fontId="2" type="noConversion"/>
  </si>
  <si>
    <t>입력가치</t>
    <phoneticPr fontId="2" type="noConversion"/>
  </si>
  <si>
    <t>출력가치</t>
    <phoneticPr fontId="2" type="noConversion"/>
  </si>
  <si>
    <t>&gt;=</t>
    <phoneticPr fontId="2" type="noConversion"/>
  </si>
  <si>
    <t>지점1 입력가치</t>
    <phoneticPr fontId="2" type="noConversion"/>
  </si>
  <si>
    <t>지점1 출력가치</t>
    <phoneticPr fontId="2" type="noConversion"/>
  </si>
  <si>
    <t>=</t>
    <phoneticPr fontId="2" type="noConversion"/>
  </si>
  <si>
    <t>2)</t>
    <phoneticPr fontId="2" type="noConversion"/>
  </si>
  <si>
    <t>Microsoft Excel 16.36 민감도 보고서</t>
  </si>
  <si>
    <t>워크시트 이름: [통합 문서1]Sheet1</t>
  </si>
  <si>
    <t>변수 셀</t>
  </si>
  <si>
    <t>셀</t>
  </si>
  <si>
    <t>이름</t>
  </si>
  <si>
    <t>계산</t>
  </si>
  <si>
    <t>값</t>
  </si>
  <si>
    <t>한계</t>
  </si>
  <si>
    <t>비용</t>
  </si>
  <si>
    <t>목표 셀</t>
  </si>
  <si>
    <t>계수</t>
  </si>
  <si>
    <t>허용 가능</t>
  </si>
  <si>
    <t>증가치</t>
  </si>
  <si>
    <t>감소치</t>
  </si>
  <si>
    <t>제한 조건</t>
  </si>
  <si>
    <t>잠재</t>
  </si>
  <si>
    <t>가격</t>
  </si>
  <si>
    <t>우변</t>
  </si>
  <si>
    <t>$B$10</t>
  </si>
  <si>
    <t>입출력 요소가격 입력요소가격</t>
  </si>
  <si>
    <t>$C$10</t>
  </si>
  <si>
    <t>입출력 요소가격 입력2</t>
  </si>
  <si>
    <t>$D$10</t>
  </si>
  <si>
    <t>입출력 요소가격 입력3</t>
  </si>
  <si>
    <t>$E$10</t>
  </si>
  <si>
    <t>입출력 요소가격 출력요소가격</t>
  </si>
  <si>
    <t>$F$10</t>
  </si>
  <si>
    <t>입출력 요소가격 출력2</t>
  </si>
  <si>
    <t>$G$10</t>
  </si>
  <si>
    <t>입출력 요소가격 출력3</t>
  </si>
  <si>
    <t>$B$17</t>
  </si>
  <si>
    <t>지점1 입력가치 입력가치</t>
  </si>
  <si>
    <t>$D$13</t>
  </si>
  <si>
    <t>&gt;= 출력가치</t>
  </si>
  <si>
    <t>$D$14</t>
  </si>
  <si>
    <t>$D$15</t>
  </si>
  <si>
    <t>보고서 작성일: 2020. 4. 25. 3:12:54 오후</t>
  </si>
  <si>
    <t>3)</t>
    <phoneticPr fontId="2" type="noConversion"/>
  </si>
  <si>
    <t>지점1 및 지점2의 잠재가격으로부터 13.88% 지점 1과 66.32의 지점2를 혼합한 은행이 벤치마킹할 은행이 된다</t>
    <phoneticPr fontId="2" type="noConversion"/>
  </si>
  <si>
    <t>효율적 혼합지점</t>
    <phoneticPr fontId="2" type="noConversion"/>
  </si>
  <si>
    <t>혼합비율</t>
    <phoneticPr fontId="2" type="noConversion"/>
  </si>
  <si>
    <t>B8~G8</t>
    <phoneticPr fontId="2" type="noConversion"/>
  </si>
  <si>
    <t>4)</t>
    <phoneticPr fontId="2" type="noConversion"/>
  </si>
  <si>
    <t>입력값은 1,2,3 모두 혼합지점이 낮고 출력값은 1,2,3 모두 비슷하므로 효율적이라 할 수 있다</t>
    <phoneticPr fontId="2" type="noConversion"/>
  </si>
  <si>
    <t>시범 초등학교 효율성 평가</t>
    <phoneticPr fontId="2" type="noConversion"/>
  </si>
  <si>
    <t>입출력 자료</t>
    <phoneticPr fontId="2" type="noConversion"/>
  </si>
  <si>
    <t>학교1</t>
    <phoneticPr fontId="2" type="noConversion"/>
  </si>
  <si>
    <t>학교2</t>
    <phoneticPr fontId="2" type="noConversion"/>
  </si>
  <si>
    <t>학교3</t>
    <phoneticPr fontId="2" type="noConversion"/>
  </si>
  <si>
    <t>학교4</t>
    <phoneticPr fontId="2" type="noConversion"/>
  </si>
  <si>
    <t>입력요소가치</t>
    <phoneticPr fontId="2" type="noConversion"/>
  </si>
  <si>
    <t>출력요소가치</t>
    <phoneticPr fontId="2" type="noConversion"/>
  </si>
  <si>
    <t>입출력 요소가치</t>
    <phoneticPr fontId="2" type="noConversion"/>
  </si>
  <si>
    <t>학교1 입력가치</t>
    <phoneticPr fontId="2" type="noConversion"/>
  </si>
  <si>
    <t>학교2 출력가치</t>
  </si>
  <si>
    <t>학교2 출력가치</t>
    <phoneticPr fontId="2" type="noConversion"/>
  </si>
  <si>
    <t>워크시트 이름: [통합 문서1]Sheet5</t>
  </si>
  <si>
    <t>보고서 작성일: 2020. 4. 25. 3:59:35 오후</t>
  </si>
  <si>
    <t>$B$11</t>
  </si>
  <si>
    <t>입출력 요소가치 입력요소가치</t>
  </si>
  <si>
    <t>$C$11</t>
  </si>
  <si>
    <t>입출력 요소가치 입력2</t>
  </si>
  <si>
    <t>$D$11</t>
  </si>
  <si>
    <t>입출력 요소가치 입력3</t>
  </si>
  <si>
    <t>$E$11</t>
  </si>
  <si>
    <t>입출력 요소가치 출력요소가치</t>
  </si>
  <si>
    <t>$F$11</t>
  </si>
  <si>
    <t>입출력 요소가치 출력2</t>
  </si>
  <si>
    <t>$G$11</t>
  </si>
  <si>
    <t>입출력 요소가치 출력3</t>
  </si>
  <si>
    <t>$B$19</t>
  </si>
  <si>
    <t>학교1 입력가치 입력가치</t>
  </si>
  <si>
    <t>학교1 출력가치</t>
  </si>
  <si>
    <t>$D$16</t>
  </si>
  <si>
    <t>학교3 출력가치</t>
  </si>
  <si>
    <t>$D$17</t>
  </si>
  <si>
    <t>학교4 출력가치</t>
  </si>
  <si>
    <t>학교4는 입력가치보다 출력가치가 낮기때문에 가장 비효율적이다</t>
    <phoneticPr fontId="2" type="noConversion"/>
  </si>
  <si>
    <t>3지점은 입력가치보다 출력가치가 낮기때문에 가장 비효율적이다</t>
    <phoneticPr fontId="2" type="noConversion"/>
  </si>
  <si>
    <t>학교1의 잠재가격이 1, 나머지의 잠재가격이 0이므로 학교1이 벤치마킹할 학교가 된다</t>
    <phoneticPr fontId="2" type="noConversion"/>
  </si>
  <si>
    <t>벤치마킹할 학교의 입출력 자료의 값은</t>
    <phoneticPr fontId="2" type="noConversion"/>
  </si>
  <si>
    <t>학교1의 입력요소1에대한 출력요소 1,2,3의 비율</t>
    <phoneticPr fontId="2" type="noConversion"/>
  </si>
  <si>
    <t>학교4의 입력요소1에대한 출력요소 1,2,3의 비율</t>
    <phoneticPr fontId="2" type="noConversion"/>
  </si>
  <si>
    <t>학교1의 입력요소2에대한 출력요소 1,2,3의 비율</t>
    <phoneticPr fontId="2" type="noConversion"/>
  </si>
  <si>
    <t>학교4의 입력요소2에대한 출력요소 1,2,3의 비율</t>
    <phoneticPr fontId="2" type="noConversion"/>
  </si>
  <si>
    <t>학교1의 입력요소3에대한 출력요소 1,2,3의 비율</t>
    <phoneticPr fontId="2" type="noConversion"/>
  </si>
  <si>
    <t>학교4의 입력요소3에대한 출력요소 1,2,3의 비율</t>
    <phoneticPr fontId="2" type="noConversion"/>
  </si>
  <si>
    <t>전체적으로 학교1의 비율이 높으므로 더 효율적이라 할 수 있다</t>
    <phoneticPr fontId="2" type="noConversion"/>
  </si>
  <si>
    <t>3) ?</t>
    <phoneticPr fontId="2" type="noConversion"/>
  </si>
  <si>
    <t>2) o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</si>
</sst>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맑은 고딕"/>
      <family val="2"/>
      <charset val="129"/>
      <scheme val="minor"/>
    </font>
    <font>
      <b/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2"/>
      <color indexed="1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 style="medium">
        <color indexed="23"/>
      </top>
      <bottom/>
      <diagonal/>
    </border>
    <border>
      <left/>
      <right/>
      <top/>
      <bottom style="medium">
        <color indexed="23"/>
      </bottom>
      <diagonal/>
    </border>
    <border>
      <left/>
      <right/>
      <top style="thin">
        <color indexed="23"/>
      </top>
      <bottom/>
      <diagonal/>
    </border>
    <border>
      <left/>
      <right/>
      <top style="thin">
        <color indexed="23"/>
      </top>
      <bottom style="medium">
        <color indexed="23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3" xfId="0" applyFill="1" applyBorder="1" applyAlignment="1">
      <alignment vertical="center"/>
    </xf>
    <xf numFmtId="0" fontId="0" fillId="0" borderId="4" xfId="0" applyFill="1" applyBorder="1" applyAlignment="1">
      <alignment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6DD07B-8EB7-2141-8377-B5765363ACA1}">
  <dimension ref="A1:I28"/>
  <sheetViews>
    <sheetView workbookViewId="0">
      <selection activeCell="B24" sqref="B24"/>
    </sheetView>
  </sheetViews>
  <sheetFormatPr baseColWidth="10" defaultRowHeight="18"/>
  <cols>
    <col min="1" max="1" width="17.42578125" customWidth="1"/>
  </cols>
  <sheetData>
    <row r="1" spans="1:9">
      <c r="A1" t="s">
        <v>0</v>
      </c>
    </row>
    <row r="3" spans="1:9">
      <c r="A3" t="s">
        <v>1</v>
      </c>
    </row>
    <row r="4" spans="1:9"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I4" t="s">
        <v>62</v>
      </c>
    </row>
    <row r="5" spans="1:9">
      <c r="A5" t="s">
        <v>2</v>
      </c>
      <c r="B5">
        <v>15</v>
      </c>
      <c r="C5">
        <v>210</v>
      </c>
      <c r="D5">
        <v>500</v>
      </c>
      <c r="E5">
        <v>203</v>
      </c>
      <c r="F5">
        <v>252</v>
      </c>
      <c r="G5">
        <v>345</v>
      </c>
      <c r="I5">
        <v>0.13877999999999999</v>
      </c>
    </row>
    <row r="6" spans="1:9">
      <c r="A6" t="s">
        <v>3</v>
      </c>
      <c r="B6">
        <v>14</v>
      </c>
      <c r="C6">
        <v>243</v>
      </c>
      <c r="D6">
        <v>510</v>
      </c>
      <c r="E6">
        <v>218</v>
      </c>
      <c r="F6">
        <v>184</v>
      </c>
      <c r="G6">
        <v>445</v>
      </c>
      <c r="I6">
        <v>0.66318999999999995</v>
      </c>
    </row>
    <row r="7" spans="1:9">
      <c r="A7" t="s">
        <v>4</v>
      </c>
      <c r="B7">
        <v>16</v>
      </c>
      <c r="C7">
        <v>231</v>
      </c>
      <c r="D7">
        <v>510</v>
      </c>
      <c r="E7">
        <v>170</v>
      </c>
      <c r="F7">
        <v>157</v>
      </c>
      <c r="G7">
        <v>343</v>
      </c>
    </row>
    <row r="8" spans="1:9">
      <c r="A8" t="s">
        <v>61</v>
      </c>
      <c r="B8">
        <f>SUMPRODUCT($I$5:$I$6,B5:B6)</f>
        <v>11.366359999999998</v>
      </c>
      <c r="C8">
        <f t="shared" ref="C8:G8" si="0">SUMPRODUCT($I$5:$I$6,C5:C6)</f>
        <v>190.29897</v>
      </c>
      <c r="D8">
        <f t="shared" si="0"/>
        <v>407.61689999999999</v>
      </c>
      <c r="E8">
        <f t="shared" si="0"/>
        <v>172.74775999999997</v>
      </c>
      <c r="F8">
        <f t="shared" si="0"/>
        <v>156.99951999999999</v>
      </c>
      <c r="G8">
        <f t="shared" si="0"/>
        <v>342.99865</v>
      </c>
    </row>
    <row r="9" spans="1:9">
      <c r="B9" t="s">
        <v>11</v>
      </c>
      <c r="E9" t="s">
        <v>12</v>
      </c>
    </row>
    <row r="10" spans="1:9">
      <c r="A10" t="s">
        <v>13</v>
      </c>
      <c r="B10">
        <v>0</v>
      </c>
      <c r="C10">
        <v>4.329004329004329E-3</v>
      </c>
      <c r="D10">
        <v>0</v>
      </c>
      <c r="E10">
        <v>0</v>
      </c>
      <c r="F10">
        <v>8.5539203911583575E-4</v>
      </c>
      <c r="G10">
        <v>2.0102380151701981E-3</v>
      </c>
    </row>
    <row r="12" spans="1:9">
      <c r="A12" t="s">
        <v>14</v>
      </c>
      <c r="B12" t="s">
        <v>15</v>
      </c>
      <c r="D12" t="s">
        <v>16</v>
      </c>
    </row>
    <row r="13" spans="1:9">
      <c r="A13" t="s">
        <v>2</v>
      </c>
      <c r="B13">
        <f>SUMPRODUCT(B5:D5,입력요소가격)</f>
        <v>0.90909090909090906</v>
      </c>
      <c r="C13" t="s">
        <v>17</v>
      </c>
      <c r="D13">
        <f>SUMPRODUCT(E5:G5,출력요소가격)</f>
        <v>0.90909090909090895</v>
      </c>
    </row>
    <row r="14" spans="1:9">
      <c r="A14" t="s">
        <v>3</v>
      </c>
      <c r="B14">
        <f>SUMPRODUCT(B6:D6,입력요소가격)</f>
        <v>1.051948051948052</v>
      </c>
      <c r="C14" t="s">
        <v>17</v>
      </c>
      <c r="D14">
        <f>SUMPRODUCT(E6:G6,출력요소가격)</f>
        <v>1.051948051948052</v>
      </c>
    </row>
    <row r="15" spans="1:9">
      <c r="A15" t="s">
        <v>4</v>
      </c>
      <c r="B15">
        <f>SUMPRODUCT(B7:D7,입력요소가격)</f>
        <v>1</v>
      </c>
      <c r="C15" t="s">
        <v>17</v>
      </c>
      <c r="D15">
        <f>SUMPRODUCT(E7:G7,출력요소가격)</f>
        <v>0.82380818934456423</v>
      </c>
    </row>
    <row r="17" spans="1:4">
      <c r="A17" t="s">
        <v>18</v>
      </c>
      <c r="B17">
        <f>B15</f>
        <v>1</v>
      </c>
      <c r="C17" t="s">
        <v>20</v>
      </c>
      <c r="D17">
        <v>1</v>
      </c>
    </row>
    <row r="18" spans="1:4">
      <c r="A18" t="s">
        <v>19</v>
      </c>
      <c r="B18">
        <f>D15</f>
        <v>0.82380818934456423</v>
      </c>
    </row>
    <row r="23" spans="1:4">
      <c r="A23" t="s">
        <v>21</v>
      </c>
      <c r="B23" t="s">
        <v>100</v>
      </c>
    </row>
    <row r="25" spans="1:4">
      <c r="A25" t="s">
        <v>59</v>
      </c>
      <c r="B25" t="s">
        <v>60</v>
      </c>
    </row>
    <row r="26" spans="1:4">
      <c r="B26" t="s">
        <v>63</v>
      </c>
    </row>
    <row r="28" spans="1:4">
      <c r="A28" t="s">
        <v>64</v>
      </c>
      <c r="B28" t="s">
        <v>65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29A068-0820-8A4B-AA15-7B6B0FE3AB79}">
  <dimension ref="A1:H22"/>
  <sheetViews>
    <sheetView showGridLines="0" workbookViewId="0">
      <selection sqref="A1:A3"/>
    </sheetView>
  </sheetViews>
  <sheetFormatPr baseColWidth="10" defaultRowHeight="18"/>
  <cols>
    <col min="1" max="1" width="2.28515625" customWidth="1"/>
    <col min="2" max="2" width="7" bestFit="1" customWidth="1"/>
    <col min="3" max="3" width="26.42578125" bestFit="1" customWidth="1"/>
    <col min="4" max="4" width="12.7109375" bestFit="1" customWidth="1"/>
    <col min="5" max="5" width="13.5703125" bestFit="1" customWidth="1"/>
    <col min="6" max="6" width="9.140625" bestFit="1" customWidth="1"/>
    <col min="7" max="8" width="12.7109375" bestFit="1" customWidth="1"/>
  </cols>
  <sheetData>
    <row r="1" spans="1:8">
      <c r="A1" s="1" t="s">
        <v>22</v>
      </c>
    </row>
    <row r="2" spans="1:8">
      <c r="A2" s="1" t="s">
        <v>23</v>
      </c>
    </row>
    <row r="3" spans="1:8">
      <c r="A3" s="1" t="s">
        <v>58</v>
      </c>
    </row>
    <row r="6" spans="1:8" ht="19" thickBot="1">
      <c r="A6" t="s">
        <v>24</v>
      </c>
    </row>
    <row r="7" spans="1:8">
      <c r="B7" s="4"/>
      <c r="C7" s="4"/>
      <c r="D7" s="4" t="s">
        <v>27</v>
      </c>
      <c r="E7" s="4" t="s">
        <v>29</v>
      </c>
      <c r="F7" s="4" t="s">
        <v>31</v>
      </c>
      <c r="G7" s="4" t="s">
        <v>33</v>
      </c>
      <c r="H7" s="4" t="s">
        <v>33</v>
      </c>
    </row>
    <row r="8" spans="1:8" ht="19" thickBot="1">
      <c r="B8" s="5" t="s">
        <v>25</v>
      </c>
      <c r="C8" s="5" t="s">
        <v>26</v>
      </c>
      <c r="D8" s="5" t="s">
        <v>28</v>
      </c>
      <c r="E8" s="5" t="s">
        <v>30</v>
      </c>
      <c r="F8" s="5" t="s">
        <v>32</v>
      </c>
      <c r="G8" s="5" t="s">
        <v>34</v>
      </c>
      <c r="H8" s="5" t="s">
        <v>35</v>
      </c>
    </row>
    <row r="9" spans="1:8">
      <c r="B9" s="2" t="s">
        <v>40</v>
      </c>
      <c r="C9" s="2" t="s">
        <v>41</v>
      </c>
      <c r="D9" s="2">
        <v>0</v>
      </c>
      <c r="E9" s="2">
        <v>-1.8145315227312764</v>
      </c>
      <c r="F9" s="2">
        <v>0</v>
      </c>
      <c r="G9" s="2">
        <v>1.8145315227312764</v>
      </c>
      <c r="H9" s="2">
        <v>1E+30</v>
      </c>
    </row>
    <row r="10" spans="1:8">
      <c r="B10" s="2" t="s">
        <v>42</v>
      </c>
      <c r="C10" s="2" t="s">
        <v>43</v>
      </c>
      <c r="D10" s="2">
        <v>4.329004329004329E-3</v>
      </c>
      <c r="E10" s="2">
        <v>0</v>
      </c>
      <c r="F10" s="2">
        <v>0</v>
      </c>
      <c r="G10" s="2">
        <v>1E+30</v>
      </c>
      <c r="H10" s="2">
        <v>5.6725466018713302</v>
      </c>
    </row>
    <row r="11" spans="1:8">
      <c r="B11" s="2" t="s">
        <v>44</v>
      </c>
      <c r="C11" s="2" t="s">
        <v>45</v>
      </c>
      <c r="D11" s="2">
        <v>0</v>
      </c>
      <c r="E11" s="2">
        <v>-12.52380418594969</v>
      </c>
      <c r="F11" s="2">
        <v>0</v>
      </c>
      <c r="G11" s="2">
        <v>12.52380418594969</v>
      </c>
      <c r="H11" s="2">
        <v>1E+30</v>
      </c>
    </row>
    <row r="12" spans="1:8">
      <c r="B12" s="2" t="s">
        <v>46</v>
      </c>
      <c r="C12" s="2" t="s">
        <v>47</v>
      </c>
      <c r="D12" s="2">
        <v>0</v>
      </c>
      <c r="E12" s="2">
        <v>-2.7483970406905014</v>
      </c>
      <c r="F12" s="2">
        <v>170</v>
      </c>
      <c r="G12" s="2">
        <v>2.7483970406905014</v>
      </c>
      <c r="H12" s="2">
        <v>1E+30</v>
      </c>
    </row>
    <row r="13" spans="1:8">
      <c r="B13" s="2" t="s">
        <v>48</v>
      </c>
      <c r="C13" s="2" t="s">
        <v>49</v>
      </c>
      <c r="D13" s="2">
        <v>8.5539203911583575E-4</v>
      </c>
      <c r="E13" s="2">
        <v>0</v>
      </c>
      <c r="F13" s="2">
        <v>157</v>
      </c>
      <c r="G13" s="2">
        <v>24.066283721407331</v>
      </c>
      <c r="H13" s="2">
        <v>8.8421157024793242</v>
      </c>
    </row>
    <row r="14" spans="1:8" ht="19" thickBot="1">
      <c r="B14" s="3" t="s">
        <v>50</v>
      </c>
      <c r="C14" s="3" t="s">
        <v>51</v>
      </c>
      <c r="D14" s="3">
        <v>2.0102380151701981E-3</v>
      </c>
      <c r="E14" s="3">
        <v>0</v>
      </c>
      <c r="F14" s="3">
        <v>343</v>
      </c>
      <c r="G14" s="3">
        <v>36.701086956521713</v>
      </c>
      <c r="H14" s="3">
        <v>7.6056073703366582</v>
      </c>
    </row>
    <row r="16" spans="1:8" ht="19" thickBot="1">
      <c r="A16" t="s">
        <v>36</v>
      </c>
    </row>
    <row r="17" spans="2:8">
      <c r="B17" s="4"/>
      <c r="C17" s="4"/>
      <c r="D17" s="4" t="s">
        <v>27</v>
      </c>
      <c r="E17" s="4" t="s">
        <v>37</v>
      </c>
      <c r="F17" s="4" t="s">
        <v>36</v>
      </c>
      <c r="G17" s="4" t="s">
        <v>33</v>
      </c>
      <c r="H17" s="4" t="s">
        <v>33</v>
      </c>
    </row>
    <row r="18" spans="2:8" ht="19" thickBot="1">
      <c r="B18" s="5" t="s">
        <v>25</v>
      </c>
      <c r="C18" s="5" t="s">
        <v>26</v>
      </c>
      <c r="D18" s="5" t="s">
        <v>28</v>
      </c>
      <c r="E18" s="5" t="s">
        <v>38</v>
      </c>
      <c r="F18" s="5" t="s">
        <v>39</v>
      </c>
      <c r="G18" s="5" t="s">
        <v>34</v>
      </c>
      <c r="H18" s="5" t="s">
        <v>35</v>
      </c>
    </row>
    <row r="19" spans="2:8">
      <c r="B19" s="2" t="s">
        <v>52</v>
      </c>
      <c r="C19" s="2" t="s">
        <v>53</v>
      </c>
      <c r="D19" s="2">
        <v>1</v>
      </c>
      <c r="E19" s="2">
        <v>0.82380818934456423</v>
      </c>
      <c r="F19" s="2">
        <v>1</v>
      </c>
      <c r="G19" s="2">
        <v>1E+30</v>
      </c>
      <c r="H19" s="2">
        <v>1</v>
      </c>
    </row>
    <row r="20" spans="2:8">
      <c r="B20" s="2" t="s">
        <v>54</v>
      </c>
      <c r="C20" s="2" t="s">
        <v>55</v>
      </c>
      <c r="D20" s="2">
        <v>0.90909090909090895</v>
      </c>
      <c r="E20" s="2">
        <v>0.13877928483353877</v>
      </c>
      <c r="F20" s="2">
        <v>0</v>
      </c>
      <c r="G20" s="2">
        <v>0.53162055335968383</v>
      </c>
      <c r="H20" s="2">
        <v>9.3535677805340584E-2</v>
      </c>
    </row>
    <row r="21" spans="2:8">
      <c r="B21" s="2" t="s">
        <v>56</v>
      </c>
      <c r="C21" s="2" t="s">
        <v>55</v>
      </c>
      <c r="D21" s="2">
        <v>1.051948051948052</v>
      </c>
      <c r="E21" s="2">
        <v>0.66319358816276208</v>
      </c>
      <c r="F21" s="2">
        <v>0</v>
      </c>
      <c r="G21" s="2">
        <v>0.12064746847355523</v>
      </c>
      <c r="H21" s="2">
        <v>0.38816738816738816</v>
      </c>
    </row>
    <row r="22" spans="2:8" ht="19" thickBot="1">
      <c r="B22" s="3" t="s">
        <v>57</v>
      </c>
      <c r="C22" s="3" t="s">
        <v>55</v>
      </c>
      <c r="D22" s="3">
        <v>0.82380818934456423</v>
      </c>
      <c r="E22" s="3">
        <v>0</v>
      </c>
      <c r="F22" s="3">
        <v>0</v>
      </c>
      <c r="G22" s="3">
        <v>1E+30</v>
      </c>
      <c r="H22" s="3">
        <v>0.17619181065543579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B74EDD-444E-B54A-AB67-6C6FE31E0A1D}">
  <dimension ref="A1:G41"/>
  <sheetViews>
    <sheetView tabSelected="1" topLeftCell="A14" workbookViewId="0">
      <selection activeCell="A24" sqref="A24"/>
    </sheetView>
  </sheetViews>
  <sheetFormatPr baseColWidth="10" defaultRowHeight="18"/>
  <cols>
    <col min="1" max="1" width="14.7109375" customWidth="1"/>
  </cols>
  <sheetData>
    <row r="1" spans="1:7">
      <c r="A1" t="s">
        <v>66</v>
      </c>
    </row>
    <row r="3" spans="1:7">
      <c r="A3" t="s">
        <v>67</v>
      </c>
    </row>
    <row r="4" spans="1:7"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</row>
    <row r="5" spans="1:7">
      <c r="A5" t="s">
        <v>68</v>
      </c>
      <c r="B5">
        <v>13</v>
      </c>
      <c r="C5">
        <v>4</v>
      </c>
      <c r="D5">
        <v>0.05</v>
      </c>
      <c r="E5">
        <v>12</v>
      </c>
      <c r="F5">
        <v>3.5</v>
      </c>
      <c r="G5">
        <v>30</v>
      </c>
    </row>
    <row r="6" spans="1:7">
      <c r="A6" t="s">
        <v>69</v>
      </c>
      <c r="B6">
        <v>14</v>
      </c>
      <c r="C6">
        <v>5</v>
      </c>
      <c r="D6">
        <v>0.05</v>
      </c>
      <c r="E6">
        <v>14</v>
      </c>
      <c r="F6">
        <v>4</v>
      </c>
      <c r="G6">
        <v>35</v>
      </c>
    </row>
    <row r="7" spans="1:7">
      <c r="A7" t="s">
        <v>70</v>
      </c>
      <c r="B7">
        <v>11</v>
      </c>
      <c r="C7">
        <v>6</v>
      </c>
      <c r="D7">
        <v>0.06</v>
      </c>
      <c r="E7">
        <v>15</v>
      </c>
      <c r="F7">
        <v>35</v>
      </c>
      <c r="G7">
        <v>32</v>
      </c>
    </row>
    <row r="8" spans="1:7">
      <c r="A8" t="s">
        <v>71</v>
      </c>
      <c r="B8">
        <v>15</v>
      </c>
      <c r="C8">
        <v>8</v>
      </c>
      <c r="D8">
        <v>0.08</v>
      </c>
      <c r="E8">
        <v>13</v>
      </c>
      <c r="F8">
        <v>4.5</v>
      </c>
      <c r="G8">
        <v>36</v>
      </c>
    </row>
    <row r="10" spans="1:7">
      <c r="B10" t="s">
        <v>72</v>
      </c>
      <c r="E10" t="s">
        <v>73</v>
      </c>
    </row>
    <row r="11" spans="1:7">
      <c r="A11" t="s">
        <v>74</v>
      </c>
      <c r="B11">
        <v>2.9411764705882339E-2</v>
      </c>
      <c r="C11">
        <v>0.15441176470588244</v>
      </c>
      <c r="D11">
        <v>0</v>
      </c>
      <c r="E11">
        <v>8.3333333333333329E-2</v>
      </c>
      <c r="F11">
        <v>0</v>
      </c>
      <c r="G11">
        <v>0</v>
      </c>
    </row>
    <row r="13" spans="1:7">
      <c r="A13" t="s">
        <v>14</v>
      </c>
      <c r="B13" t="s">
        <v>15</v>
      </c>
      <c r="D13" t="s">
        <v>16</v>
      </c>
    </row>
    <row r="14" spans="1:7">
      <c r="A14" t="s">
        <v>68</v>
      </c>
      <c r="B14">
        <f>SUMPRODUCT(B5:D5,입력요소가치)</f>
        <v>1.0000000000000002</v>
      </c>
      <c r="D14">
        <f>SUMPRODUCT(E5:G5,출력요소가치)</f>
        <v>1</v>
      </c>
    </row>
    <row r="15" spans="1:7">
      <c r="A15" t="s">
        <v>69</v>
      </c>
      <c r="B15">
        <f>SUMPRODUCT(B6:D6,입력요소가치)</f>
        <v>1.1838235294117649</v>
      </c>
      <c r="D15">
        <f>SUMPRODUCT(E6:G6,출력요소가치)</f>
        <v>1.1666666666666665</v>
      </c>
    </row>
    <row r="16" spans="1:7">
      <c r="A16" t="s">
        <v>70</v>
      </c>
      <c r="B16">
        <f>SUMPRODUCT(B7:D7,입력요소가치)</f>
        <v>1.2500000000000004</v>
      </c>
      <c r="D16">
        <f>SUMPRODUCT(E7:G7,출력요소가치)</f>
        <v>1.25</v>
      </c>
    </row>
    <row r="17" spans="1:7">
      <c r="A17" t="s">
        <v>71</v>
      </c>
      <c r="B17">
        <f>SUMPRODUCT(B8:D8,입력요소가치)</f>
        <v>1.6764705882352946</v>
      </c>
      <c r="D17">
        <f>SUMPRODUCT(E8:G8,출력요소가치)</f>
        <v>1.0833333333333333</v>
      </c>
    </row>
    <row r="19" spans="1:7">
      <c r="A19" t="s">
        <v>75</v>
      </c>
      <c r="B19">
        <f>B14</f>
        <v>1.0000000000000002</v>
      </c>
      <c r="C19" t="s">
        <v>20</v>
      </c>
      <c r="D19">
        <v>1</v>
      </c>
    </row>
    <row r="20" spans="1:7">
      <c r="A20" t="s">
        <v>77</v>
      </c>
      <c r="B20">
        <f>D14</f>
        <v>1</v>
      </c>
    </row>
    <row r="23" spans="1:7">
      <c r="A23" t="s">
        <v>111</v>
      </c>
      <c r="B23" t="s">
        <v>99</v>
      </c>
    </row>
    <row r="25" spans="1:7">
      <c r="A25" t="s">
        <v>110</v>
      </c>
      <c r="B25" t="s">
        <v>101</v>
      </c>
    </row>
    <row r="26" spans="1:7">
      <c r="B26" t="s">
        <v>102</v>
      </c>
    </row>
    <row r="27" spans="1:7">
      <c r="A27" t="s">
        <v>68</v>
      </c>
      <c r="B27">
        <v>13</v>
      </c>
      <c r="C27">
        <v>4</v>
      </c>
      <c r="D27">
        <v>0.05</v>
      </c>
      <c r="E27">
        <v>12</v>
      </c>
      <c r="F27">
        <v>3.5</v>
      </c>
      <c r="G27">
        <v>30</v>
      </c>
    </row>
    <row r="29" spans="1:7">
      <c r="A29" t="s">
        <v>64</v>
      </c>
    </row>
    <row r="30" spans="1:7">
      <c r="A30" t="s">
        <v>68</v>
      </c>
      <c r="B30">
        <v>13</v>
      </c>
      <c r="C30">
        <v>4</v>
      </c>
      <c r="D30">
        <v>0.05</v>
      </c>
      <c r="E30">
        <v>12</v>
      </c>
      <c r="F30">
        <v>3.5</v>
      </c>
      <c r="G30">
        <v>30</v>
      </c>
    </row>
    <row r="31" spans="1:7">
      <c r="A31" t="s">
        <v>71</v>
      </c>
      <c r="B31">
        <v>15</v>
      </c>
      <c r="C31">
        <v>8</v>
      </c>
      <c r="D31">
        <v>0.08</v>
      </c>
      <c r="E31">
        <v>13</v>
      </c>
      <c r="F31">
        <v>4.5</v>
      </c>
      <c r="G31">
        <v>36</v>
      </c>
    </row>
    <row r="32" spans="1:7">
      <c r="A32" t="s">
        <v>103</v>
      </c>
      <c r="E32">
        <f>E30/$B30</f>
        <v>0.92307692307692313</v>
      </c>
      <c r="F32">
        <f>F30/$B30</f>
        <v>0.26923076923076922</v>
      </c>
      <c r="G32">
        <f>G30/$B30</f>
        <v>2.3076923076923075</v>
      </c>
    </row>
    <row r="33" spans="1:7">
      <c r="A33" t="s">
        <v>104</v>
      </c>
      <c r="E33">
        <f>E31/$B31</f>
        <v>0.8666666666666667</v>
      </c>
      <c r="F33">
        <f t="shared" ref="F33:G33" si="0">F31/$B31</f>
        <v>0.3</v>
      </c>
      <c r="G33">
        <f t="shared" si="0"/>
        <v>2.4</v>
      </c>
    </row>
    <row r="35" spans="1:7">
      <c r="A35" t="s">
        <v>105</v>
      </c>
      <c r="E35">
        <f>E30/$C30</f>
        <v>3</v>
      </c>
      <c r="F35">
        <f t="shared" ref="F35:G35" si="1">F30/$C30</f>
        <v>0.875</v>
      </c>
      <c r="G35">
        <f t="shared" si="1"/>
        <v>7.5</v>
      </c>
    </row>
    <row r="36" spans="1:7">
      <c r="A36" t="s">
        <v>106</v>
      </c>
      <c r="E36">
        <f>E31/$C31</f>
        <v>1.625</v>
      </c>
      <c r="F36">
        <f t="shared" ref="F36:G36" si="2">F31/$C31</f>
        <v>0.5625</v>
      </c>
      <c r="G36">
        <f t="shared" si="2"/>
        <v>4.5</v>
      </c>
    </row>
    <row r="38" spans="1:7">
      <c r="A38" t="s">
        <v>107</v>
      </c>
      <c r="E38">
        <f>E30/$D30</f>
        <v>240</v>
      </c>
      <c r="F38">
        <f t="shared" ref="F38:G38" si="3">F30/$D30</f>
        <v>70</v>
      </c>
      <c r="G38">
        <f t="shared" si="3"/>
        <v>600</v>
      </c>
    </row>
    <row r="39" spans="1:7">
      <c r="A39" t="s">
        <v>108</v>
      </c>
      <c r="E39">
        <f>E31/$D31</f>
        <v>162.5</v>
      </c>
      <c r="F39">
        <f t="shared" ref="F39:G39" si="4">F31/$D31</f>
        <v>56.25</v>
      </c>
      <c r="G39">
        <f t="shared" si="4"/>
        <v>450</v>
      </c>
    </row>
    <row r="41" spans="1:7">
      <c r="A41" t="s">
        <v>109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9D0EE-D0D5-044D-A61C-9FB2A346FEFD}">
  <dimension ref="A1:H23"/>
  <sheetViews>
    <sheetView showGridLines="0" workbookViewId="0">
      <selection sqref="A1:A3"/>
    </sheetView>
  </sheetViews>
  <sheetFormatPr baseColWidth="10" defaultRowHeight="18"/>
  <cols>
    <col min="1" max="1" width="2.28515625" customWidth="1"/>
    <col min="2" max="2" width="7" bestFit="1" customWidth="1"/>
    <col min="3" max="3" width="26.42578125" bestFit="1" customWidth="1"/>
    <col min="4" max="4" width="12.7109375" bestFit="1" customWidth="1"/>
    <col min="5" max="5" width="5.140625" bestFit="1" customWidth="1"/>
    <col min="6" max="6" width="9.140625" bestFit="1" customWidth="1"/>
    <col min="7" max="8" width="12.7109375" bestFit="1" customWidth="1"/>
  </cols>
  <sheetData>
    <row r="1" spans="1:8">
      <c r="A1" s="1" t="s">
        <v>22</v>
      </c>
    </row>
    <row r="2" spans="1:8">
      <c r="A2" s="1" t="s">
        <v>78</v>
      </c>
    </row>
    <row r="3" spans="1:8">
      <c r="A3" s="1" t="s">
        <v>79</v>
      </c>
    </row>
    <row r="6" spans="1:8" ht="19" thickBot="1">
      <c r="A6" t="s">
        <v>24</v>
      </c>
    </row>
    <row r="7" spans="1:8">
      <c r="B7" s="4"/>
      <c r="C7" s="4"/>
      <c r="D7" s="4" t="s">
        <v>27</v>
      </c>
      <c r="E7" s="4" t="s">
        <v>29</v>
      </c>
      <c r="F7" s="4" t="s">
        <v>31</v>
      </c>
      <c r="G7" s="4" t="s">
        <v>33</v>
      </c>
      <c r="H7" s="4" t="s">
        <v>33</v>
      </c>
    </row>
    <row r="8" spans="1:8" ht="19" thickBot="1">
      <c r="B8" s="5" t="s">
        <v>25</v>
      </c>
      <c r="C8" s="5" t="s">
        <v>26</v>
      </c>
      <c r="D8" s="5" t="s">
        <v>28</v>
      </c>
      <c r="E8" s="5" t="s">
        <v>30</v>
      </c>
      <c r="F8" s="5" t="s">
        <v>32</v>
      </c>
      <c r="G8" s="5" t="s">
        <v>34</v>
      </c>
      <c r="H8" s="5" t="s">
        <v>35</v>
      </c>
    </row>
    <row r="9" spans="1:8">
      <c r="B9" s="2" t="s">
        <v>80</v>
      </c>
      <c r="C9" s="2" t="s">
        <v>81</v>
      </c>
      <c r="D9" s="2">
        <v>2.9411764705882353E-2</v>
      </c>
      <c r="E9" s="2">
        <v>0</v>
      </c>
      <c r="F9" s="2">
        <v>0</v>
      </c>
      <c r="G9" s="2">
        <v>0</v>
      </c>
      <c r="H9" s="2">
        <v>0</v>
      </c>
    </row>
    <row r="10" spans="1:8">
      <c r="B10" s="2" t="s">
        <v>82</v>
      </c>
      <c r="C10" s="2" t="s">
        <v>83</v>
      </c>
      <c r="D10" s="2">
        <v>0.15441176470588236</v>
      </c>
      <c r="E10" s="2">
        <v>0</v>
      </c>
      <c r="F10" s="2">
        <v>0</v>
      </c>
      <c r="G10" s="2">
        <v>0</v>
      </c>
      <c r="H10" s="2">
        <v>0</v>
      </c>
    </row>
    <row r="11" spans="1:8">
      <c r="B11" s="2" t="s">
        <v>84</v>
      </c>
      <c r="C11" s="2" t="s">
        <v>85</v>
      </c>
      <c r="D11" s="2">
        <v>0</v>
      </c>
      <c r="E11" s="2">
        <v>0</v>
      </c>
      <c r="F11" s="2">
        <v>0</v>
      </c>
      <c r="G11" s="2">
        <v>0</v>
      </c>
      <c r="H11" s="2">
        <v>1E+30</v>
      </c>
    </row>
    <row r="12" spans="1:8">
      <c r="B12" s="2" t="s">
        <v>86</v>
      </c>
      <c r="C12" s="2" t="s">
        <v>87</v>
      </c>
      <c r="D12" s="2">
        <v>8.3333333333333343E-2</v>
      </c>
      <c r="E12" s="2">
        <v>0</v>
      </c>
      <c r="F12" s="2">
        <v>12</v>
      </c>
      <c r="G12" s="2">
        <v>1E+30</v>
      </c>
      <c r="H12" s="2">
        <v>0</v>
      </c>
    </row>
    <row r="13" spans="1:8">
      <c r="B13" s="2" t="s">
        <v>88</v>
      </c>
      <c r="C13" s="2" t="s">
        <v>89</v>
      </c>
      <c r="D13" s="2">
        <v>0</v>
      </c>
      <c r="E13" s="2">
        <v>0</v>
      </c>
      <c r="F13" s="2">
        <v>3.5</v>
      </c>
      <c r="G13" s="2">
        <v>0</v>
      </c>
      <c r="H13" s="2">
        <v>1E+30</v>
      </c>
    </row>
    <row r="14" spans="1:8" ht="19" thickBot="1">
      <c r="B14" s="3" t="s">
        <v>90</v>
      </c>
      <c r="C14" s="3" t="s">
        <v>91</v>
      </c>
      <c r="D14" s="3">
        <v>0</v>
      </c>
      <c r="E14" s="3">
        <v>0</v>
      </c>
      <c r="F14" s="3">
        <v>30</v>
      </c>
      <c r="G14" s="3">
        <v>0</v>
      </c>
      <c r="H14" s="3">
        <v>1E+30</v>
      </c>
    </row>
    <row r="16" spans="1:8" ht="19" thickBot="1">
      <c r="A16" t="s">
        <v>36</v>
      </c>
    </row>
    <row r="17" spans="2:8">
      <c r="B17" s="4"/>
      <c r="C17" s="4"/>
      <c r="D17" s="4" t="s">
        <v>27</v>
      </c>
      <c r="E17" s="4" t="s">
        <v>37</v>
      </c>
      <c r="F17" s="4" t="s">
        <v>36</v>
      </c>
      <c r="G17" s="4" t="s">
        <v>33</v>
      </c>
      <c r="H17" s="4" t="s">
        <v>33</v>
      </c>
    </row>
    <row r="18" spans="2:8" ht="19" thickBot="1">
      <c r="B18" s="5" t="s">
        <v>25</v>
      </c>
      <c r="C18" s="5" t="s">
        <v>26</v>
      </c>
      <c r="D18" s="5" t="s">
        <v>28</v>
      </c>
      <c r="E18" s="5" t="s">
        <v>38</v>
      </c>
      <c r="F18" s="5" t="s">
        <v>39</v>
      </c>
      <c r="G18" s="5" t="s">
        <v>34</v>
      </c>
      <c r="H18" s="5" t="s">
        <v>35</v>
      </c>
    </row>
    <row r="19" spans="2:8">
      <c r="B19" s="2" t="s">
        <v>92</v>
      </c>
      <c r="C19" s="2" t="s">
        <v>93</v>
      </c>
      <c r="D19" s="2">
        <v>1</v>
      </c>
      <c r="E19" s="2">
        <v>1</v>
      </c>
      <c r="F19" s="2">
        <v>1</v>
      </c>
      <c r="G19" s="2">
        <v>1E+30</v>
      </c>
      <c r="H19" s="2">
        <v>1</v>
      </c>
    </row>
    <row r="20" spans="2:8">
      <c r="B20" s="2" t="s">
        <v>56</v>
      </c>
      <c r="C20" s="2" t="s">
        <v>94</v>
      </c>
      <c r="D20" s="2">
        <v>1</v>
      </c>
      <c r="E20" s="2">
        <v>1</v>
      </c>
      <c r="F20" s="2">
        <v>0</v>
      </c>
      <c r="G20" s="2">
        <v>2.0527859237536781E-2</v>
      </c>
      <c r="H20" s="2">
        <v>0.32307692307692304</v>
      </c>
    </row>
    <row r="21" spans="2:8">
      <c r="B21" s="2" t="s">
        <v>57</v>
      </c>
      <c r="C21" s="2" t="s">
        <v>76</v>
      </c>
      <c r="D21" s="2">
        <v>1.1666666666666667</v>
      </c>
      <c r="E21" s="2">
        <v>0</v>
      </c>
      <c r="F21" s="2">
        <v>0</v>
      </c>
      <c r="G21" s="2">
        <v>1E+30</v>
      </c>
      <c r="H21" s="2">
        <v>1.7156862745098145E-2</v>
      </c>
    </row>
    <row r="22" spans="2:8">
      <c r="B22" s="2" t="s">
        <v>95</v>
      </c>
      <c r="C22" s="2" t="s">
        <v>96</v>
      </c>
      <c r="D22" s="2">
        <v>1.2500000000000002</v>
      </c>
      <c r="E22" s="2">
        <v>0</v>
      </c>
      <c r="F22" s="2">
        <v>0</v>
      </c>
      <c r="G22" s="2">
        <v>6.4814814814815255E-2</v>
      </c>
      <c r="H22" s="2">
        <v>0.24999999999999994</v>
      </c>
    </row>
    <row r="23" spans="2:8" ht="19" thickBot="1">
      <c r="B23" s="3" t="s">
        <v>97</v>
      </c>
      <c r="C23" s="3" t="s">
        <v>98</v>
      </c>
      <c r="D23" s="3">
        <v>1.0833333333333335</v>
      </c>
      <c r="E23" s="3">
        <v>0</v>
      </c>
      <c r="F23" s="3">
        <v>0</v>
      </c>
      <c r="G23" s="3">
        <v>1E+30</v>
      </c>
      <c r="H23" s="3">
        <v>0.5931372549019609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 지정된 범위</vt:lpstr>
      </vt:variant>
      <vt:variant>
        <vt:i4>4</vt:i4>
      </vt:variant>
    </vt:vector>
  </HeadingPairs>
  <TitlesOfParts>
    <vt:vector size="8" baseType="lpstr">
      <vt:lpstr>Sheet1</vt:lpstr>
      <vt:lpstr>민감도 보고서 3</vt:lpstr>
      <vt:lpstr>Sheet5</vt:lpstr>
      <vt:lpstr>민감도 보고서 1</vt:lpstr>
      <vt:lpstr>입력요소가격</vt:lpstr>
      <vt:lpstr>입력요소가치</vt:lpstr>
      <vt:lpstr>출력요소가격</vt:lpstr>
      <vt:lpstr>출력요소가치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장 진우</dc:creator>
  <cp:lastModifiedBy>장 진우</cp:lastModifiedBy>
  <dcterms:created xsi:type="dcterms:W3CDTF">2020-04-25T05:16:07Z</dcterms:created>
  <dcterms:modified xsi:type="dcterms:W3CDTF">2020-04-28T00:35:19Z</dcterms:modified>
</cp:coreProperties>
</file>