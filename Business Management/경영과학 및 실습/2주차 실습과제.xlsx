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1.실행/대학생활/2학년 1학기/ㄴ 경영과학1 및 실습/"/>
    </mc:Choice>
  </mc:AlternateContent>
  <xr:revisionPtr revIDLastSave="0" documentId="8_{76F57DEF-0C1C-F042-83AA-02336DB7403C}" xr6:coauthVersionLast="45" xr6:coauthVersionMax="45" xr10:uidLastSave="{00000000-0000-0000-0000-000000000000}"/>
  <bookViews>
    <workbookView xWindow="180" yWindow="500" windowWidth="14720" windowHeight="17040" xr2:uid="{03ED2CE4-BB21-6347-AEF3-07B17851A286}"/>
  </bookViews>
  <sheets>
    <sheet name="실습문제 1" sheetId="1" r:id="rId1"/>
    <sheet name="해답 보고서 1" sheetId="5" r:id="rId2"/>
    <sheet name="실습문제 2" sheetId="4" r:id="rId3"/>
    <sheet name="해답 보고서 2" sheetId="7" r:id="rId4"/>
  </sheets>
  <definedNames>
    <definedName name="solver_adj" localSheetId="0" hidden="1">'실습문제 1'!$B$34:$C$34</definedName>
    <definedName name="solver_adj" localSheetId="2" hidden="1">'실습문제 2'!$B$14:$C$14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2</definedName>
    <definedName name="solver_eng" localSheetId="2" hidden="1">2</definedName>
    <definedName name="solver_itr" localSheetId="0" hidden="1">2147483647</definedName>
    <definedName name="solver_itr" localSheetId="2" hidden="1">2147483647</definedName>
    <definedName name="solver_lhs1" localSheetId="0" hidden="1">'실습문제 1'!$B$43</definedName>
    <definedName name="solver_lhs1" localSheetId="2" hidden="1">'실습문제 2'!$B$19:$B$22</definedName>
    <definedName name="solver_lhs2" localSheetId="0" hidden="1">'실습문제 1'!$B$44</definedName>
    <definedName name="solver_lhs3" localSheetId="0" hidden="1">'실습문제 1'!$B$45</definedName>
    <definedName name="solver_lhs4" localSheetId="0" hidden="1">'실습문제 1'!$B$46</definedName>
    <definedName name="solver_lin" localSheetId="0" hidden="1">1</definedName>
    <definedName name="solver_lin" localSheetId="2" hidden="1">1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4</definedName>
    <definedName name="solver_num" localSheetId="2" hidden="1">1</definedName>
    <definedName name="solver_opt" localSheetId="0" hidden="1">'실습문제 1'!$B$41</definedName>
    <definedName name="solver_opt" localSheetId="2" hidden="1">'실습문제 2'!$B$17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1</definedName>
    <definedName name="solver_rel1" localSheetId="2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'실습문제 1'!$D$43</definedName>
    <definedName name="solver_rhs1" localSheetId="2" hidden="1">'실습문제 2'!$D$19:$D$22</definedName>
    <definedName name="solver_rhs2" localSheetId="0" hidden="1">'실습문제 1'!$D$44</definedName>
    <definedName name="solver_rhs3" localSheetId="0" hidden="1">'실습문제 1'!$D$45</definedName>
    <definedName name="solver_rhs4" localSheetId="0" hidden="1">'실습문제 1'!$D$46</definedName>
    <definedName name="solver_rlx" localSheetId="0" hidden="1">1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2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1</definedName>
    <definedName name="solver_typ" localSheetId="2" hidden="1">1</definedName>
    <definedName name="solver_val" localSheetId="0" hidden="1">0</definedName>
    <definedName name="solver_val" localSheetId="2" hidden="1">0</definedName>
    <definedName name="solver_ver" localSheetId="0" hidden="1">2</definedName>
    <definedName name="solver_ver" localSheetId="2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3" i="4" l="1"/>
  <c r="B42" i="4"/>
  <c r="B41" i="4"/>
  <c r="B40" i="4"/>
  <c r="B38" i="4"/>
  <c r="B17" i="4"/>
  <c r="B44" i="1"/>
  <c r="B43" i="1"/>
  <c r="B19" i="4"/>
  <c r="B22" i="4"/>
  <c r="B20" i="4"/>
  <c r="B45" i="1"/>
  <c r="B21" i="4"/>
  <c r="B41" i="1"/>
  <c r="B46" i="1"/>
</calcChain>
</file>

<file path=xl/sharedStrings.xml><?xml version="1.0" encoding="utf-8"?>
<sst xmlns="http://schemas.openxmlformats.org/spreadsheetml/2006/main" count="204" uniqueCount="106">
  <si>
    <t>(주)소아의 제품배합문제</t>
    <phoneticPr fontId="2" type="noConversion"/>
  </si>
  <si>
    <t>입력자료</t>
    <phoneticPr fontId="2" type="noConversion"/>
  </si>
  <si>
    <t>공정</t>
    <phoneticPr fontId="2" type="noConversion"/>
  </si>
  <si>
    <t>이용가능 시간</t>
    <phoneticPr fontId="2" type="noConversion"/>
  </si>
  <si>
    <t>절단공정(기계1)</t>
    <phoneticPr fontId="2" type="noConversion"/>
  </si>
  <si>
    <t>용접공정(기계2)</t>
    <phoneticPr fontId="2" type="noConversion"/>
  </si>
  <si>
    <t>조립공정(기계3)</t>
    <phoneticPr fontId="2" type="noConversion"/>
  </si>
  <si>
    <t>유모차</t>
    <phoneticPr fontId="2" type="noConversion"/>
  </si>
  <si>
    <t>판매이익</t>
    <phoneticPr fontId="2" type="noConversion"/>
  </si>
  <si>
    <t>보행기</t>
    <phoneticPr fontId="2" type="noConversion"/>
  </si>
  <si>
    <t>변수</t>
    <phoneticPr fontId="2" type="noConversion"/>
  </si>
  <si>
    <t>유모차 생산</t>
    <phoneticPr fontId="2" type="noConversion"/>
  </si>
  <si>
    <t>보행기 생산</t>
    <phoneticPr fontId="2" type="noConversion"/>
  </si>
  <si>
    <t>생산계획</t>
    <phoneticPr fontId="2" type="noConversion"/>
  </si>
  <si>
    <t>모형</t>
    <phoneticPr fontId="2" type="noConversion"/>
  </si>
  <si>
    <t>총 판매이익</t>
    <phoneticPr fontId="2" type="noConversion"/>
  </si>
  <si>
    <t>절단공정 사용시간</t>
    <phoneticPr fontId="2" type="noConversion"/>
  </si>
  <si>
    <t>용접공정 사용시간</t>
    <phoneticPr fontId="2" type="noConversion"/>
  </si>
  <si>
    <t>조립공정 사용시간</t>
    <phoneticPr fontId="2" type="noConversion"/>
  </si>
  <si>
    <t>&lt;=</t>
    <phoneticPr fontId="2" type="noConversion"/>
  </si>
  <si>
    <t>Microsoft Excel 16.35 해답 보고서</t>
  </si>
  <si>
    <t>결과: 해를 찾았습니다. 모든 제한 조건 및 최적화 조건이 만족되었습니다.</t>
  </si>
  <si>
    <t>해 찾기 엔진</t>
  </si>
  <si>
    <t>엔진: 단순 LP</t>
  </si>
  <si>
    <t>반복 횟수: 2 부분 문제: 0</t>
  </si>
  <si>
    <t>해 찾기 옵션</t>
  </si>
  <si>
    <t>최대 시간 제한 없음, 반복 횟수 제한 없음, Precision 0.000001</t>
  </si>
  <si>
    <t>최대 부분 문제 제한 없음, 최대 정수 해 제한 없음, 정수 허용 한도 1%, 정수 제한 조건이 없는 해, 음수 아닌 것으로 가정</t>
  </si>
  <si>
    <t>목표 셀 (최대값)</t>
  </si>
  <si>
    <t>셀</t>
  </si>
  <si>
    <t>이름</t>
  </si>
  <si>
    <t>계산 전의 값</t>
  </si>
  <si>
    <t>계산 값</t>
  </si>
  <si>
    <t>변수 셀</t>
  </si>
  <si>
    <t>정수</t>
  </si>
  <si>
    <t>제한 조건</t>
  </si>
  <si>
    <t>셀의 값</t>
  </si>
  <si>
    <t>수식</t>
  </si>
  <si>
    <t>상태</t>
  </si>
  <si>
    <t>조건과의 차</t>
  </si>
  <si>
    <t>$B$20</t>
  </si>
  <si>
    <t>총 판매이익 유모차 생산</t>
  </si>
  <si>
    <t>생산계획 유모차 생산</t>
  </si>
  <si>
    <t>Contin</t>
  </si>
  <si>
    <t>생산계획 보행기 생산</t>
  </si>
  <si>
    <t>$B$22</t>
  </si>
  <si>
    <t>절단공정 사용시간 유모차 생산</t>
  </si>
  <si>
    <t>$B$22&lt;=$D$22</t>
  </si>
  <si>
    <t>만족</t>
  </si>
  <si>
    <t>용접공정 사용시간 유모차 생산</t>
  </si>
  <si>
    <t>부분적 만족</t>
  </si>
  <si>
    <t>조립공정 사용시간 유모차 생산</t>
  </si>
  <si>
    <t>보행기 생산 유모차 생산</t>
  </si>
  <si>
    <t>1)가능해 탐색</t>
  </si>
  <si>
    <t>1)가능해 탐색</t>
    <phoneticPr fontId="2" type="noConversion"/>
  </si>
  <si>
    <t>제품배합</t>
  </si>
  <si>
    <t>실행가능 여부</t>
  </si>
  <si>
    <t>주간이익(만원)</t>
  </si>
  <si>
    <t>(10,20)</t>
  </si>
  <si>
    <t>(20,20)</t>
  </si>
  <si>
    <t>(10,30)</t>
  </si>
  <si>
    <t>(20,30)</t>
  </si>
  <si>
    <t>가능</t>
  </si>
  <si>
    <t>불가능</t>
  </si>
  <si>
    <t>2)&lt;수리모형&gt;</t>
  </si>
  <si>
    <t>유모차와 보행기의 생산량</t>
  </si>
  <si>
    <t>1 의사결정변수</t>
  </si>
  <si>
    <t>2제한조건</t>
  </si>
  <si>
    <t>8x유모차생산량+3x보행기생산량&lt;=240</t>
  </si>
  <si>
    <t>4x유모차생산량+4x보행기생산량&lt;=200</t>
  </si>
  <si>
    <t>4x유모차생산량+0x보행기생산량&lt;=100</t>
  </si>
  <si>
    <t>3최대판매이익</t>
  </si>
  <si>
    <t>유모차판매이익x유모차생산량+보행기판매이익x보행기생산량</t>
  </si>
  <si>
    <t>3)스프레드시트 모형작성</t>
  </si>
  <si>
    <t>4)해찾기 적용</t>
    <phoneticPr fontId="2" type="noConversion"/>
  </si>
  <si>
    <t>1. 실습문제 1</t>
    <phoneticPr fontId="2" type="noConversion"/>
  </si>
  <si>
    <t>2. 실습문제 2</t>
    <phoneticPr fontId="2" type="noConversion"/>
  </si>
  <si>
    <t>워크시트 이름: [통합 문서1]실습문제 1</t>
  </si>
  <si>
    <t>보고서 작성일: 2020. 3. 27. 9:21:11 오후</t>
  </si>
  <si>
    <t>해 찾는 시간: 38655596.178 초.</t>
  </si>
  <si>
    <t>반복 횟수: 3 부분 문제: 0</t>
  </si>
  <si>
    <t>$B$41</t>
  </si>
  <si>
    <t>$B$34</t>
  </si>
  <si>
    <t>$C$34</t>
  </si>
  <si>
    <t>$B$43</t>
  </si>
  <si>
    <t>$B$43&lt;=$D$43</t>
  </si>
  <si>
    <t>$B$44</t>
  </si>
  <si>
    <t>$B$44&lt;=$D$44</t>
  </si>
  <si>
    <t>$B$45</t>
  </si>
  <si>
    <t>$B$45&lt;=$D$45</t>
  </si>
  <si>
    <t>$B$46</t>
  </si>
  <si>
    <t>$B$46&lt;=$D$46</t>
  </si>
  <si>
    <t>워크시트 이름: [통합 문서1]실습문제 2</t>
  </si>
  <si>
    <t>보고서 작성일: 2020. 3. 28. 5:57:05 오후</t>
  </si>
  <si>
    <t>해 찾는 시간: 38655314.048 초.</t>
  </si>
  <si>
    <t>최대 시간 제한 없음, 반복 횟수 제한 없음, Precision 1E-06, 단위 자동 설정 사용</t>
  </si>
  <si>
    <t>최대 부분 문제 제한 없음, 최대 정수 해 제한 없음, 정수 허용 한도 1%, 음수 아닌 것으로 가정</t>
  </si>
  <si>
    <t>$B$17</t>
  </si>
  <si>
    <t>$B$14</t>
  </si>
  <si>
    <t>$C$14</t>
  </si>
  <si>
    <t>$B$19</t>
  </si>
  <si>
    <t>$B$19&lt;=$D$19</t>
  </si>
  <si>
    <t>$B$20&lt;=$D$20</t>
  </si>
  <si>
    <t>$B$21</t>
  </si>
  <si>
    <t>$B$21&lt;=$D$21</t>
  </si>
  <si>
    <t>유모차 한 대의 판매이익이 55만원으로 수정되면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</si>
</sst>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indexed="1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0" borderId="16" xfId="0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6" xfId="0" applyNumberFormat="1" applyFill="1" applyBorder="1" applyAlignment="1">
      <alignment vertical="center"/>
    </xf>
    <xf numFmtId="0" fontId="0" fillId="0" borderId="17" xfId="0" applyNumberForma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4" fillId="0" borderId="0" xfId="0" applyFont="1">
      <alignment vertical="center"/>
    </xf>
    <xf numFmtId="0" fontId="4" fillId="3" borderId="18" xfId="0" applyFont="1" applyFill="1" applyBorder="1">
      <alignment vertical="center"/>
    </xf>
    <xf numFmtId="0" fontId="4" fillId="3" borderId="19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20" xfId="0" applyFont="1" applyFill="1" applyBorder="1">
      <alignment vertical="center"/>
    </xf>
    <xf numFmtId="0" fontId="4" fillId="3" borderId="21" xfId="0" applyFont="1" applyFill="1" applyBorder="1">
      <alignment vertical="center"/>
    </xf>
    <xf numFmtId="0" fontId="4" fillId="0" borderId="22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5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DEA7-DE44-3A4D-B6E1-A028ED719F67}">
  <dimension ref="A1:F48"/>
  <sheetViews>
    <sheetView tabSelected="1" workbookViewId="0">
      <selection activeCell="B41" sqref="B41"/>
    </sheetView>
  </sheetViews>
  <sheetFormatPr defaultColWidth="10.890625" defaultRowHeight="17.25" x14ac:dyDescent="0.25"/>
  <cols>
    <col min="1" max="1" width="17.24609375" customWidth="1"/>
    <col min="2" max="2" width="12.70703125" customWidth="1"/>
    <col min="4" max="4" width="16.6796875" customWidth="1"/>
  </cols>
  <sheetData>
    <row r="1" spans="1:5" x14ac:dyDescent="0.25">
      <c r="A1" t="s">
        <v>0</v>
      </c>
    </row>
    <row r="3" spans="1:5" x14ac:dyDescent="0.25">
      <c r="A3" t="s">
        <v>75</v>
      </c>
    </row>
    <row r="5" spans="1:5" x14ac:dyDescent="0.25">
      <c r="A5" s="23" t="s">
        <v>53</v>
      </c>
      <c r="B5" s="23"/>
      <c r="C5" s="23"/>
      <c r="D5" s="23"/>
      <c r="E5" s="23"/>
    </row>
    <row r="6" spans="1:5" x14ac:dyDescent="0.25">
      <c r="A6" s="23" t="s">
        <v>55</v>
      </c>
      <c r="B6" s="23" t="s">
        <v>56</v>
      </c>
      <c r="C6" s="23" t="s">
        <v>57</v>
      </c>
      <c r="D6" s="23"/>
      <c r="E6" s="23"/>
    </row>
    <row r="7" spans="1:5" x14ac:dyDescent="0.25">
      <c r="A7" s="23" t="s">
        <v>58</v>
      </c>
      <c r="B7" s="23" t="s">
        <v>62</v>
      </c>
      <c r="C7" s="23">
        <v>700</v>
      </c>
      <c r="D7" s="23"/>
      <c r="E7" s="23"/>
    </row>
    <row r="8" spans="1:5" x14ac:dyDescent="0.25">
      <c r="A8" s="23" t="s">
        <v>59</v>
      </c>
      <c r="B8" s="23" t="s">
        <v>62</v>
      </c>
      <c r="C8" s="23">
        <v>1000</v>
      </c>
      <c r="D8" s="23"/>
      <c r="E8" s="23"/>
    </row>
    <row r="9" spans="1:5" x14ac:dyDescent="0.25">
      <c r="A9" s="23" t="s">
        <v>60</v>
      </c>
      <c r="B9" s="23" t="s">
        <v>62</v>
      </c>
      <c r="C9" s="23">
        <v>900</v>
      </c>
      <c r="D9" s="23"/>
      <c r="E9" s="23"/>
    </row>
    <row r="10" spans="1:5" x14ac:dyDescent="0.25">
      <c r="A10" s="23" t="s">
        <v>61</v>
      </c>
      <c r="B10" s="23" t="s">
        <v>63</v>
      </c>
      <c r="C10" s="23">
        <v>1200</v>
      </c>
      <c r="D10" s="23"/>
      <c r="E10" s="23"/>
    </row>
    <row r="11" spans="1:5" x14ac:dyDescent="0.25">
      <c r="A11" s="23"/>
      <c r="B11" s="23"/>
      <c r="C11" s="23"/>
      <c r="D11" s="23"/>
      <c r="E11" s="23"/>
    </row>
    <row r="12" spans="1:5" x14ac:dyDescent="0.25">
      <c r="A12" s="23" t="s">
        <v>64</v>
      </c>
      <c r="B12" s="23"/>
      <c r="C12" s="23"/>
      <c r="D12" s="23"/>
      <c r="E12" s="23"/>
    </row>
    <row r="13" spans="1:5" x14ac:dyDescent="0.25">
      <c r="A13" s="23" t="s">
        <v>66</v>
      </c>
      <c r="B13" s="23" t="s">
        <v>65</v>
      </c>
      <c r="C13" s="23"/>
      <c r="D13" s="23"/>
      <c r="E13" s="23"/>
    </row>
    <row r="14" spans="1:5" x14ac:dyDescent="0.25">
      <c r="A14" s="23" t="s">
        <v>67</v>
      </c>
      <c r="B14" s="23" t="s">
        <v>68</v>
      </c>
      <c r="C14" s="23"/>
      <c r="D14" s="23"/>
      <c r="E14" s="23"/>
    </row>
    <row r="15" spans="1:5" x14ac:dyDescent="0.25">
      <c r="A15" s="23"/>
      <c r="B15" s="23" t="s">
        <v>69</v>
      </c>
      <c r="C15" s="23"/>
      <c r="D15" s="23"/>
      <c r="E15" s="23"/>
    </row>
    <row r="16" spans="1:5" x14ac:dyDescent="0.25">
      <c r="A16" s="23"/>
      <c r="B16" s="23" t="s">
        <v>70</v>
      </c>
      <c r="C16" s="23"/>
      <c r="D16" s="23"/>
      <c r="E16" s="23"/>
    </row>
    <row r="17" spans="1:6" x14ac:dyDescent="0.25">
      <c r="A17" s="23" t="s">
        <v>71</v>
      </c>
      <c r="B17" s="23" t="s">
        <v>72</v>
      </c>
      <c r="C17" s="23"/>
      <c r="D17" s="23"/>
      <c r="E17" s="23"/>
    </row>
    <row r="18" spans="1:6" x14ac:dyDescent="0.25">
      <c r="A18" s="23"/>
      <c r="B18" s="23"/>
      <c r="C18" s="23"/>
      <c r="D18" s="23"/>
      <c r="E18" s="23"/>
    </row>
    <row r="19" spans="1:6" x14ac:dyDescent="0.25">
      <c r="A19" s="23" t="s">
        <v>73</v>
      </c>
      <c r="B19" s="23"/>
      <c r="C19" s="23"/>
      <c r="D19" s="23"/>
      <c r="E19" s="23"/>
    </row>
    <row r="20" spans="1:6" x14ac:dyDescent="0.25">
      <c r="A20" s="23"/>
      <c r="B20" s="23"/>
      <c r="C20" s="23"/>
      <c r="D20" s="23"/>
      <c r="E20" s="23"/>
    </row>
    <row r="22" spans="1:6" x14ac:dyDescent="0.25">
      <c r="A22" t="s">
        <v>1</v>
      </c>
    </row>
    <row r="24" spans="1:6" x14ac:dyDescent="0.25">
      <c r="A24" t="s">
        <v>2</v>
      </c>
      <c r="B24" t="s">
        <v>3</v>
      </c>
      <c r="D24" t="s">
        <v>2</v>
      </c>
      <c r="E24" t="s">
        <v>7</v>
      </c>
      <c r="F24" t="s">
        <v>9</v>
      </c>
    </row>
    <row r="25" spans="1:6" x14ac:dyDescent="0.25">
      <c r="A25" t="s">
        <v>4</v>
      </c>
      <c r="B25">
        <v>240</v>
      </c>
      <c r="D25" t="s">
        <v>4</v>
      </c>
      <c r="E25" s="3">
        <v>8</v>
      </c>
      <c r="F25" s="4">
        <v>3</v>
      </c>
    </row>
    <row r="26" spans="1:6" x14ac:dyDescent="0.25">
      <c r="A26" t="s">
        <v>5</v>
      </c>
      <c r="B26">
        <v>200</v>
      </c>
      <c r="D26" t="s">
        <v>5</v>
      </c>
      <c r="E26" s="5">
        <v>4</v>
      </c>
      <c r="F26" s="6">
        <v>4</v>
      </c>
    </row>
    <row r="27" spans="1:6" x14ac:dyDescent="0.25">
      <c r="A27" t="s">
        <v>6</v>
      </c>
      <c r="B27">
        <v>100</v>
      </c>
      <c r="D27" t="s">
        <v>6</v>
      </c>
      <c r="E27" s="7">
        <v>4</v>
      </c>
      <c r="F27" s="8">
        <v>0</v>
      </c>
    </row>
    <row r="29" spans="1:6" x14ac:dyDescent="0.25">
      <c r="D29" t="s">
        <v>8</v>
      </c>
      <c r="E29" s="1">
        <v>30</v>
      </c>
      <c r="F29" s="2">
        <v>20</v>
      </c>
    </row>
    <row r="31" spans="1:6" x14ac:dyDescent="0.25">
      <c r="A31" t="s">
        <v>10</v>
      </c>
    </row>
    <row r="33" spans="1:4" x14ac:dyDescent="0.25">
      <c r="B33" t="s">
        <v>11</v>
      </c>
      <c r="C33" t="s">
        <v>12</v>
      </c>
    </row>
    <row r="34" spans="1:4" x14ac:dyDescent="0.25">
      <c r="A34" t="s">
        <v>13</v>
      </c>
      <c r="B34" s="10">
        <v>18</v>
      </c>
      <c r="C34" s="11">
        <v>32</v>
      </c>
    </row>
    <row r="35" spans="1:4" x14ac:dyDescent="0.25">
      <c r="A35" t="s">
        <v>54</v>
      </c>
      <c r="B35" s="21">
        <v>10</v>
      </c>
      <c r="C35" s="21">
        <v>20</v>
      </c>
    </row>
    <row r="36" spans="1:4" x14ac:dyDescent="0.25">
      <c r="B36" s="21">
        <v>20</v>
      </c>
      <c r="C36" s="21">
        <v>20</v>
      </c>
    </row>
    <row r="37" spans="1:4" x14ac:dyDescent="0.25">
      <c r="B37" s="21">
        <v>10</v>
      </c>
      <c r="C37" s="21">
        <v>30</v>
      </c>
    </row>
    <row r="38" spans="1:4" x14ac:dyDescent="0.25">
      <c r="B38" s="22">
        <v>20</v>
      </c>
      <c r="C38" s="22">
        <v>30</v>
      </c>
    </row>
    <row r="39" spans="1:4" x14ac:dyDescent="0.25">
      <c r="B39" s="22"/>
      <c r="C39" s="22"/>
    </row>
    <row r="40" spans="1:4" x14ac:dyDescent="0.25">
      <c r="A40" t="s">
        <v>14</v>
      </c>
    </row>
    <row r="41" spans="1:4" x14ac:dyDescent="0.25">
      <c r="A41" t="s">
        <v>15</v>
      </c>
      <c r="B41" s="9">
        <f>E29*B34+F29*C34</f>
        <v>1180</v>
      </c>
    </row>
    <row r="43" spans="1:4" x14ac:dyDescent="0.25">
      <c r="A43" t="s">
        <v>16</v>
      </c>
      <c r="B43" s="12">
        <f>SUMPRODUCT(E25:F25, $B$34:$C$34)</f>
        <v>240</v>
      </c>
      <c r="C43" t="s">
        <v>19</v>
      </c>
      <c r="D43" s="12">
        <v>240</v>
      </c>
    </row>
    <row r="44" spans="1:4" x14ac:dyDescent="0.25">
      <c r="A44" t="s">
        <v>17</v>
      </c>
      <c r="B44" s="12">
        <f>SUMPRODUCT(E26:F26, $B$34:$C$34)</f>
        <v>200</v>
      </c>
      <c r="C44" t="s">
        <v>19</v>
      </c>
      <c r="D44" s="13">
        <v>200</v>
      </c>
    </row>
    <row r="45" spans="1:4" x14ac:dyDescent="0.25">
      <c r="A45" t="s">
        <v>18</v>
      </c>
      <c r="B45" s="12">
        <f t="shared" ref="B44:B45" si="0">SUMPRODUCT(E27:F27, $B$34:$C$34)</f>
        <v>72</v>
      </c>
      <c r="C45" t="s">
        <v>19</v>
      </c>
      <c r="D45" s="13">
        <v>100</v>
      </c>
    </row>
    <row r="46" spans="1:4" x14ac:dyDescent="0.25">
      <c r="A46" t="s">
        <v>12</v>
      </c>
      <c r="B46" s="14">
        <f>C34</f>
        <v>32</v>
      </c>
      <c r="C46" t="s">
        <v>19</v>
      </c>
      <c r="D46" s="14">
        <v>40</v>
      </c>
    </row>
    <row r="48" spans="1:4" x14ac:dyDescent="0.25">
      <c r="A48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21EC-3CD3-514F-AA57-A98F0C9C3B2A}">
  <dimension ref="A1:G30"/>
  <sheetViews>
    <sheetView showGridLines="0" workbookViewId="0"/>
  </sheetViews>
  <sheetFormatPr defaultColWidth="10.890625" defaultRowHeight="17.25" outlineLevelRow="1" x14ac:dyDescent="0.25"/>
  <cols>
    <col min="1" max="1" width="2.265625" customWidth="1"/>
    <col min="2" max="2" width="6.69140625" bestFit="1" customWidth="1"/>
    <col min="3" max="3" width="27.1171875" bestFit="1" customWidth="1"/>
    <col min="4" max="4" width="11.4609375" bestFit="1" customWidth="1"/>
    <col min="5" max="5" width="14.41015625" bestFit="1" customWidth="1"/>
    <col min="6" max="7" width="10.890625" bestFit="1" customWidth="1"/>
  </cols>
  <sheetData>
    <row r="1" spans="1:5" x14ac:dyDescent="0.25">
      <c r="A1" s="15" t="s">
        <v>20</v>
      </c>
    </row>
    <row r="2" spans="1:5" x14ac:dyDescent="0.25">
      <c r="A2" s="15" t="s">
        <v>77</v>
      </c>
    </row>
    <row r="3" spans="1:5" x14ac:dyDescent="0.25">
      <c r="A3" s="15" t="s">
        <v>78</v>
      </c>
    </row>
    <row r="4" spans="1:5" x14ac:dyDescent="0.25">
      <c r="A4" s="15" t="s">
        <v>21</v>
      </c>
    </row>
    <row r="5" spans="1:5" x14ac:dyDescent="0.25">
      <c r="A5" s="15" t="s">
        <v>22</v>
      </c>
    </row>
    <row r="6" spans="1:5" hidden="1" outlineLevel="1" x14ac:dyDescent="0.25">
      <c r="A6" s="15"/>
      <c r="B6" t="s">
        <v>23</v>
      </c>
    </row>
    <row r="7" spans="1:5" hidden="1" outlineLevel="1" x14ac:dyDescent="0.25">
      <c r="A7" s="15"/>
      <c r="B7" t="s">
        <v>79</v>
      </c>
    </row>
    <row r="8" spans="1:5" hidden="1" outlineLevel="1" x14ac:dyDescent="0.25">
      <c r="A8" s="15"/>
      <c r="B8" t="s">
        <v>80</v>
      </c>
    </row>
    <row r="9" spans="1:5" collapsed="1" x14ac:dyDescent="0.25">
      <c r="A9" s="15" t="s">
        <v>25</v>
      </c>
    </row>
    <row r="10" spans="1:5" hidden="1" outlineLevel="1" x14ac:dyDescent="0.25">
      <c r="B10" t="s">
        <v>26</v>
      </c>
    </row>
    <row r="11" spans="1:5" hidden="1" outlineLevel="1" x14ac:dyDescent="0.25">
      <c r="B11" t="s">
        <v>27</v>
      </c>
    </row>
    <row r="12" spans="1:5" collapsed="1" x14ac:dyDescent="0.25"/>
    <row r="14" spans="1:5" ht="18" thickBot="1" x14ac:dyDescent="0.3">
      <c r="A14" t="s">
        <v>28</v>
      </c>
    </row>
    <row r="15" spans="1:5" ht="18" thickBot="1" x14ac:dyDescent="0.3">
      <c r="B15" s="17" t="s">
        <v>29</v>
      </c>
      <c r="C15" s="17" t="s">
        <v>30</v>
      </c>
      <c r="D15" s="17" t="s">
        <v>31</v>
      </c>
      <c r="E15" s="17" t="s">
        <v>32</v>
      </c>
    </row>
    <row r="16" spans="1:5" ht="18" thickBot="1" x14ac:dyDescent="0.3">
      <c r="B16" s="16" t="s">
        <v>81</v>
      </c>
      <c r="C16" s="16" t="s">
        <v>41</v>
      </c>
      <c r="D16" s="19">
        <v>1180</v>
      </c>
      <c r="E16" s="19">
        <v>1180</v>
      </c>
    </row>
    <row r="19" spans="1:7" ht="18" thickBot="1" x14ac:dyDescent="0.3">
      <c r="A19" t="s">
        <v>33</v>
      </c>
    </row>
    <row r="20" spans="1:7" ht="18" thickBot="1" x14ac:dyDescent="0.3">
      <c r="B20" s="17" t="s">
        <v>29</v>
      </c>
      <c r="C20" s="17" t="s">
        <v>30</v>
      </c>
      <c r="D20" s="17" t="s">
        <v>31</v>
      </c>
      <c r="E20" s="17" t="s">
        <v>32</v>
      </c>
      <c r="F20" s="17" t="s">
        <v>34</v>
      </c>
    </row>
    <row r="21" spans="1:7" x14ac:dyDescent="0.25">
      <c r="B21" s="18" t="s">
        <v>82</v>
      </c>
      <c r="C21" s="18" t="s">
        <v>42</v>
      </c>
      <c r="D21" s="20">
        <v>18</v>
      </c>
      <c r="E21" s="20">
        <v>18</v>
      </c>
      <c r="F21" s="18" t="s">
        <v>43</v>
      </c>
    </row>
    <row r="22" spans="1:7" ht="18" thickBot="1" x14ac:dyDescent="0.3">
      <c r="B22" s="16" t="s">
        <v>83</v>
      </c>
      <c r="C22" s="16" t="s">
        <v>44</v>
      </c>
      <c r="D22" s="19">
        <v>32</v>
      </c>
      <c r="E22" s="19">
        <v>32</v>
      </c>
      <c r="F22" s="16" t="s">
        <v>43</v>
      </c>
    </row>
    <row r="25" spans="1:7" ht="18" thickBot="1" x14ac:dyDescent="0.3">
      <c r="A25" t="s">
        <v>35</v>
      </c>
    </row>
    <row r="26" spans="1:7" ht="18" thickBot="1" x14ac:dyDescent="0.3">
      <c r="B26" s="17" t="s">
        <v>29</v>
      </c>
      <c r="C26" s="17" t="s">
        <v>30</v>
      </c>
      <c r="D26" s="17" t="s">
        <v>36</v>
      </c>
      <c r="E26" s="17" t="s">
        <v>37</v>
      </c>
      <c r="F26" s="17" t="s">
        <v>38</v>
      </c>
      <c r="G26" s="17" t="s">
        <v>39</v>
      </c>
    </row>
    <row r="27" spans="1:7" x14ac:dyDescent="0.25">
      <c r="B27" s="18" t="s">
        <v>84</v>
      </c>
      <c r="C27" s="18" t="s">
        <v>46</v>
      </c>
      <c r="D27" s="20">
        <v>240</v>
      </c>
      <c r="E27" s="18" t="s">
        <v>85</v>
      </c>
      <c r="F27" s="18" t="s">
        <v>48</v>
      </c>
      <c r="G27" s="18">
        <v>0</v>
      </c>
    </row>
    <row r="28" spans="1:7" x14ac:dyDescent="0.25">
      <c r="B28" s="18" t="s">
        <v>86</v>
      </c>
      <c r="C28" s="18" t="s">
        <v>49</v>
      </c>
      <c r="D28" s="20">
        <v>200</v>
      </c>
      <c r="E28" s="18" t="s">
        <v>87</v>
      </c>
      <c r="F28" s="18" t="s">
        <v>48</v>
      </c>
      <c r="G28" s="18">
        <v>0</v>
      </c>
    </row>
    <row r="29" spans="1:7" x14ac:dyDescent="0.25">
      <c r="B29" s="18" t="s">
        <v>88</v>
      </c>
      <c r="C29" s="18" t="s">
        <v>51</v>
      </c>
      <c r="D29" s="20">
        <v>72</v>
      </c>
      <c r="E29" s="18" t="s">
        <v>89</v>
      </c>
      <c r="F29" s="18" t="s">
        <v>50</v>
      </c>
      <c r="G29" s="18">
        <v>28</v>
      </c>
    </row>
    <row r="30" spans="1:7" ht="18" thickBot="1" x14ac:dyDescent="0.3">
      <c r="B30" s="16" t="s">
        <v>90</v>
      </c>
      <c r="C30" s="16" t="s">
        <v>52</v>
      </c>
      <c r="D30" s="19">
        <v>32</v>
      </c>
      <c r="E30" s="16" t="s">
        <v>91</v>
      </c>
      <c r="F30" s="16" t="s">
        <v>50</v>
      </c>
      <c r="G30" s="16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6D88-5C97-8947-B065-B731A0EC190C}">
  <dimension ref="A1:D63"/>
  <sheetViews>
    <sheetView topLeftCell="A26" workbookViewId="0">
      <selection activeCell="A48" sqref="A48"/>
    </sheetView>
  </sheetViews>
  <sheetFormatPr defaultColWidth="10.890625" defaultRowHeight="17.25" x14ac:dyDescent="0.25"/>
  <cols>
    <col min="1" max="1" width="21.10546875" customWidth="1"/>
  </cols>
  <sheetData>
    <row r="1" spans="1:3" x14ac:dyDescent="0.25">
      <c r="A1" t="s">
        <v>76</v>
      </c>
    </row>
    <row r="3" spans="1:3" x14ac:dyDescent="0.25">
      <c r="A3" t="s">
        <v>1</v>
      </c>
    </row>
    <row r="5" spans="1:3" x14ac:dyDescent="0.25">
      <c r="A5" t="s">
        <v>2</v>
      </c>
      <c r="B5" t="s">
        <v>7</v>
      </c>
      <c r="C5" t="s">
        <v>9</v>
      </c>
    </row>
    <row r="6" spans="1:3" x14ac:dyDescent="0.25">
      <c r="A6" t="s">
        <v>4</v>
      </c>
      <c r="B6" s="3">
        <v>5</v>
      </c>
      <c r="C6" s="4">
        <v>3</v>
      </c>
    </row>
    <row r="7" spans="1:3" x14ac:dyDescent="0.25">
      <c r="A7" t="s">
        <v>5</v>
      </c>
      <c r="B7" s="5">
        <v>4</v>
      </c>
      <c r="C7" s="6">
        <v>4</v>
      </c>
    </row>
    <row r="8" spans="1:3" x14ac:dyDescent="0.25">
      <c r="A8" t="s">
        <v>6</v>
      </c>
      <c r="B8" s="7">
        <v>4</v>
      </c>
      <c r="C8" s="8">
        <v>0</v>
      </c>
    </row>
    <row r="10" spans="1:3" x14ac:dyDescent="0.25">
      <c r="A10" t="s">
        <v>8</v>
      </c>
      <c r="B10" s="1">
        <v>30</v>
      </c>
      <c r="C10" s="2">
        <v>20</v>
      </c>
    </row>
    <row r="12" spans="1:3" x14ac:dyDescent="0.25">
      <c r="A12" t="s">
        <v>10</v>
      </c>
    </row>
    <row r="13" spans="1:3" x14ac:dyDescent="0.25">
      <c r="B13" t="s">
        <v>11</v>
      </c>
      <c r="C13" t="s">
        <v>12</v>
      </c>
    </row>
    <row r="14" spans="1:3" x14ac:dyDescent="0.25">
      <c r="A14" t="s">
        <v>13</v>
      </c>
      <c r="B14" s="10">
        <v>25</v>
      </c>
      <c r="C14" s="11">
        <v>25</v>
      </c>
    </row>
    <row r="15" spans="1:3" x14ac:dyDescent="0.25">
      <c r="B15" s="21"/>
      <c r="C15" s="21"/>
    </row>
    <row r="16" spans="1:3" x14ac:dyDescent="0.25">
      <c r="A16" t="s">
        <v>14</v>
      </c>
    </row>
    <row r="17" spans="1:4" x14ac:dyDescent="0.25">
      <c r="A17" t="s">
        <v>15</v>
      </c>
      <c r="B17" s="9">
        <f>SUMPRODUCT(B10:C10,B14:C14)</f>
        <v>1250</v>
      </c>
    </row>
    <row r="19" spans="1:4" x14ac:dyDescent="0.25">
      <c r="A19" t="s">
        <v>16</v>
      </c>
      <c r="B19" s="12">
        <f>SUMPRODUCT(B6:C6, $B$14:$C$14)</f>
        <v>200</v>
      </c>
      <c r="C19" t="s">
        <v>19</v>
      </c>
      <c r="D19" s="12">
        <v>300</v>
      </c>
    </row>
    <row r="20" spans="1:4" x14ac:dyDescent="0.25">
      <c r="A20" t="s">
        <v>17</v>
      </c>
      <c r="B20" s="12">
        <f>SUMPRODUCT(B7:C7, $B$14:$C$14)</f>
        <v>200</v>
      </c>
      <c r="C20" t="s">
        <v>19</v>
      </c>
      <c r="D20" s="13">
        <v>200</v>
      </c>
    </row>
    <row r="21" spans="1:4" x14ac:dyDescent="0.25">
      <c r="A21" t="s">
        <v>18</v>
      </c>
      <c r="B21" s="12">
        <f t="shared" ref="B20:B21" si="0">SUMPRODUCT(B8:C8, $B$14:$C$14)</f>
        <v>100</v>
      </c>
      <c r="C21" t="s">
        <v>19</v>
      </c>
      <c r="D21" s="13">
        <v>100</v>
      </c>
    </row>
    <row r="22" spans="1:4" x14ac:dyDescent="0.25">
      <c r="A22" t="s">
        <v>12</v>
      </c>
      <c r="B22" s="14">
        <f>C14</f>
        <v>25</v>
      </c>
      <c r="C22" t="s">
        <v>19</v>
      </c>
      <c r="D22" s="14">
        <v>40</v>
      </c>
    </row>
    <row r="25" spans="1:4" x14ac:dyDescent="0.25">
      <c r="A25" t="s">
        <v>105</v>
      </c>
    </row>
    <row r="26" spans="1:4" x14ac:dyDescent="0.25">
      <c r="A26" t="s">
        <v>2</v>
      </c>
      <c r="B26" t="s">
        <v>7</v>
      </c>
      <c r="C26" t="s">
        <v>9</v>
      </c>
    </row>
    <row r="27" spans="1:4" x14ac:dyDescent="0.25">
      <c r="A27" t="s">
        <v>4</v>
      </c>
      <c r="B27" s="3">
        <v>5</v>
      </c>
      <c r="C27" s="4">
        <v>3</v>
      </c>
    </row>
    <row r="28" spans="1:4" x14ac:dyDescent="0.25">
      <c r="A28" t="s">
        <v>5</v>
      </c>
      <c r="B28" s="5">
        <v>4</v>
      </c>
      <c r="C28" s="6">
        <v>4</v>
      </c>
    </row>
    <row r="29" spans="1:4" x14ac:dyDescent="0.25">
      <c r="A29" t="s">
        <v>6</v>
      </c>
      <c r="B29" s="7">
        <v>4</v>
      </c>
      <c r="C29" s="8">
        <v>0</v>
      </c>
    </row>
    <row r="31" spans="1:4" x14ac:dyDescent="0.25">
      <c r="A31" t="s">
        <v>8</v>
      </c>
      <c r="B31" s="1">
        <v>55</v>
      </c>
      <c r="C31" s="2">
        <v>20</v>
      </c>
    </row>
    <row r="33" spans="1:4" x14ac:dyDescent="0.25">
      <c r="A33" t="s">
        <v>10</v>
      </c>
    </row>
    <row r="34" spans="1:4" x14ac:dyDescent="0.25">
      <c r="B34" t="s">
        <v>11</v>
      </c>
      <c r="C34" t="s">
        <v>12</v>
      </c>
    </row>
    <row r="35" spans="1:4" x14ac:dyDescent="0.25">
      <c r="A35" t="s">
        <v>13</v>
      </c>
      <c r="B35" s="10">
        <v>25</v>
      </c>
      <c r="C35" s="11">
        <v>25</v>
      </c>
    </row>
    <row r="36" spans="1:4" x14ac:dyDescent="0.25">
      <c r="B36" s="21"/>
      <c r="C36" s="21"/>
    </row>
    <row r="37" spans="1:4" x14ac:dyDescent="0.25">
      <c r="A37" t="s">
        <v>14</v>
      </c>
    </row>
    <row r="38" spans="1:4" x14ac:dyDescent="0.25">
      <c r="A38" t="s">
        <v>15</v>
      </c>
      <c r="B38" s="9">
        <f>SUMPRODUCT(B31:C31,B35:C35)</f>
        <v>1875</v>
      </c>
    </row>
    <row r="40" spans="1:4" x14ac:dyDescent="0.25">
      <c r="A40" t="s">
        <v>16</v>
      </c>
      <c r="B40" s="12">
        <f>SUMPRODUCT(B27:C27, $B$14:$C$14)</f>
        <v>200</v>
      </c>
      <c r="C40" t="s">
        <v>19</v>
      </c>
      <c r="D40" s="12">
        <v>300</v>
      </c>
    </row>
    <row r="41" spans="1:4" x14ac:dyDescent="0.25">
      <c r="A41" t="s">
        <v>17</v>
      </c>
      <c r="B41" s="12">
        <f>SUMPRODUCT(B28:C28, $B$14:$C$14)</f>
        <v>200</v>
      </c>
      <c r="C41" t="s">
        <v>19</v>
      </c>
      <c r="D41" s="13">
        <v>200</v>
      </c>
    </row>
    <row r="42" spans="1:4" x14ac:dyDescent="0.25">
      <c r="A42" t="s">
        <v>18</v>
      </c>
      <c r="B42" s="12">
        <f t="shared" ref="B42" si="1">SUMPRODUCT(B29:C29, $B$14:$C$14)</f>
        <v>100</v>
      </c>
      <c r="C42" t="s">
        <v>19</v>
      </c>
      <c r="D42" s="13">
        <v>100</v>
      </c>
    </row>
    <row r="43" spans="1:4" x14ac:dyDescent="0.25">
      <c r="A43" t="s">
        <v>12</v>
      </c>
      <c r="B43" s="14">
        <f>C35</f>
        <v>25</v>
      </c>
      <c r="C43" t="s">
        <v>19</v>
      </c>
      <c r="D43" s="14">
        <v>40</v>
      </c>
    </row>
    <row r="46" spans="1:4" x14ac:dyDescent="0.25">
      <c r="A46" s="23"/>
      <c r="B46" s="23"/>
      <c r="C46" s="23"/>
      <c r="D46" s="23"/>
    </row>
    <row r="47" spans="1:4" x14ac:dyDescent="0.25">
      <c r="A47" s="23"/>
      <c r="B47" s="24"/>
      <c r="C47" s="25"/>
      <c r="D47" s="23"/>
    </row>
    <row r="48" spans="1:4" x14ac:dyDescent="0.25">
      <c r="A48" s="23"/>
      <c r="B48" s="26"/>
      <c r="C48" s="27"/>
      <c r="D48" s="23"/>
    </row>
    <row r="49" spans="1:4" x14ac:dyDescent="0.25">
      <c r="A49" s="23"/>
      <c r="B49" s="28"/>
      <c r="C49" s="29"/>
      <c r="D49" s="23"/>
    </row>
    <row r="50" spans="1:4" x14ac:dyDescent="0.25">
      <c r="A50" s="23"/>
      <c r="B50" s="23"/>
      <c r="C50" s="23"/>
      <c r="D50" s="23"/>
    </row>
    <row r="51" spans="1:4" x14ac:dyDescent="0.25">
      <c r="A51" s="23"/>
      <c r="B51" s="30"/>
      <c r="C51" s="31"/>
      <c r="D51" s="23"/>
    </row>
    <row r="52" spans="1:4" x14ac:dyDescent="0.25">
      <c r="A52" s="23"/>
      <c r="B52" s="23"/>
      <c r="C52" s="23"/>
      <c r="D52" s="23"/>
    </row>
    <row r="53" spans="1:4" x14ac:dyDescent="0.25">
      <c r="A53" s="23"/>
      <c r="B53" s="23"/>
      <c r="C53" s="23"/>
      <c r="D53" s="23"/>
    </row>
    <row r="54" spans="1:4" x14ac:dyDescent="0.25">
      <c r="A54" s="23"/>
      <c r="B54" s="23"/>
      <c r="C54" s="23"/>
      <c r="D54" s="23"/>
    </row>
    <row r="55" spans="1:4" x14ac:dyDescent="0.25">
      <c r="A55" s="23"/>
      <c r="B55" s="32"/>
      <c r="C55" s="33"/>
      <c r="D55" s="23"/>
    </row>
    <row r="56" spans="1:4" x14ac:dyDescent="0.25">
      <c r="A56" s="23"/>
      <c r="B56" s="23"/>
      <c r="C56" s="23"/>
      <c r="D56" s="23"/>
    </row>
    <row r="57" spans="1:4" x14ac:dyDescent="0.25">
      <c r="A57" s="23"/>
      <c r="B57" s="23"/>
      <c r="C57" s="23"/>
      <c r="D57" s="23"/>
    </row>
    <row r="58" spans="1:4" x14ac:dyDescent="0.25">
      <c r="A58" s="23"/>
      <c r="B58" s="34"/>
      <c r="C58" s="23"/>
      <c r="D58" s="23"/>
    </row>
    <row r="59" spans="1:4" x14ac:dyDescent="0.25">
      <c r="A59" s="23"/>
      <c r="B59" s="23"/>
      <c r="C59" s="23"/>
      <c r="D59" s="23"/>
    </row>
    <row r="60" spans="1:4" x14ac:dyDescent="0.25">
      <c r="A60" s="23"/>
      <c r="B60" s="35"/>
      <c r="C60" s="23"/>
      <c r="D60" s="35"/>
    </row>
    <row r="61" spans="1:4" x14ac:dyDescent="0.25">
      <c r="A61" s="23"/>
      <c r="B61" s="35"/>
      <c r="C61" s="23"/>
      <c r="D61" s="36"/>
    </row>
    <row r="62" spans="1:4" x14ac:dyDescent="0.25">
      <c r="A62" s="23"/>
      <c r="B62" s="35"/>
      <c r="C62" s="23"/>
      <c r="D62" s="36"/>
    </row>
    <row r="63" spans="1:4" x14ac:dyDescent="0.25">
      <c r="A63" s="23"/>
      <c r="B63" s="37"/>
      <c r="C63" s="23"/>
      <c r="D63" s="3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195B-0BC1-C942-B0AD-42F3A6A7641C}">
  <dimension ref="A1:G30"/>
  <sheetViews>
    <sheetView showGridLines="0" topLeftCell="A16" workbookViewId="0"/>
  </sheetViews>
  <sheetFormatPr defaultColWidth="10.890625" defaultRowHeight="17.25" x14ac:dyDescent="0.25"/>
  <cols>
    <col min="1" max="1" width="2.265625" customWidth="1"/>
    <col min="2" max="2" width="6.69140625" bestFit="1" customWidth="1"/>
    <col min="3" max="3" width="27.1171875" bestFit="1" customWidth="1"/>
    <col min="4" max="4" width="11.4609375" bestFit="1" customWidth="1"/>
    <col min="5" max="5" width="14.41015625" bestFit="1" customWidth="1"/>
    <col min="6" max="7" width="10.890625" bestFit="1" customWidth="1"/>
  </cols>
  <sheetData>
    <row r="1" spans="1:5" x14ac:dyDescent="0.25">
      <c r="A1" s="15" t="s">
        <v>20</v>
      </c>
    </row>
    <row r="2" spans="1:5" x14ac:dyDescent="0.25">
      <c r="A2" s="15" t="s">
        <v>92</v>
      </c>
    </row>
    <row r="3" spans="1:5" x14ac:dyDescent="0.25">
      <c r="A3" s="15" t="s">
        <v>93</v>
      </c>
    </row>
    <row r="4" spans="1:5" x14ac:dyDescent="0.25">
      <c r="A4" s="15" t="s">
        <v>21</v>
      </c>
    </row>
    <row r="5" spans="1:5" x14ac:dyDescent="0.25">
      <c r="A5" s="15" t="s">
        <v>22</v>
      </c>
    </row>
    <row r="6" spans="1:5" x14ac:dyDescent="0.25">
      <c r="A6" s="15"/>
      <c r="B6" t="s">
        <v>23</v>
      </c>
    </row>
    <row r="7" spans="1:5" x14ac:dyDescent="0.25">
      <c r="A7" s="15"/>
      <c r="B7" t="s">
        <v>94</v>
      </c>
    </row>
    <row r="8" spans="1:5" x14ac:dyDescent="0.25">
      <c r="A8" s="15"/>
      <c r="B8" t="s">
        <v>24</v>
      </c>
    </row>
    <row r="9" spans="1:5" x14ac:dyDescent="0.25">
      <c r="A9" s="15" t="s">
        <v>25</v>
      </c>
    </row>
    <row r="10" spans="1:5" x14ac:dyDescent="0.25">
      <c r="B10" t="s">
        <v>95</v>
      </c>
    </row>
    <row r="11" spans="1:5" x14ac:dyDescent="0.25">
      <c r="B11" t="s">
        <v>96</v>
      </c>
    </row>
    <row r="14" spans="1:5" ht="18" thickBot="1" x14ac:dyDescent="0.3">
      <c r="A14" t="s">
        <v>28</v>
      </c>
    </row>
    <row r="15" spans="1:5" ht="18" thickBot="1" x14ac:dyDescent="0.3">
      <c r="B15" s="17" t="s">
        <v>29</v>
      </c>
      <c r="C15" s="17" t="s">
        <v>30</v>
      </c>
      <c r="D15" s="17" t="s">
        <v>31</v>
      </c>
      <c r="E15" s="17" t="s">
        <v>32</v>
      </c>
    </row>
    <row r="16" spans="1:5" ht="18" thickBot="1" x14ac:dyDescent="0.3">
      <c r="B16" s="16" t="s">
        <v>97</v>
      </c>
      <c r="C16" s="16" t="s">
        <v>41</v>
      </c>
      <c r="D16" s="19">
        <v>0</v>
      </c>
      <c r="E16" s="19">
        <v>1250</v>
      </c>
    </row>
    <row r="19" spans="1:7" ht="18" thickBot="1" x14ac:dyDescent="0.3">
      <c r="A19" t="s">
        <v>33</v>
      </c>
    </row>
    <row r="20" spans="1:7" ht="18" thickBot="1" x14ac:dyDescent="0.3">
      <c r="B20" s="17" t="s">
        <v>29</v>
      </c>
      <c r="C20" s="17" t="s">
        <v>30</v>
      </c>
      <c r="D20" s="17" t="s">
        <v>31</v>
      </c>
      <c r="E20" s="17" t="s">
        <v>32</v>
      </c>
      <c r="F20" s="17" t="s">
        <v>34</v>
      </c>
    </row>
    <row r="21" spans="1:7" x14ac:dyDescent="0.25">
      <c r="B21" s="18" t="s">
        <v>98</v>
      </c>
      <c r="C21" s="18" t="s">
        <v>42</v>
      </c>
      <c r="D21" s="20">
        <v>0</v>
      </c>
      <c r="E21" s="20">
        <v>25</v>
      </c>
      <c r="F21" s="18" t="s">
        <v>43</v>
      </c>
    </row>
    <row r="22" spans="1:7" ht="18" thickBot="1" x14ac:dyDescent="0.3">
      <c r="B22" s="16" t="s">
        <v>99</v>
      </c>
      <c r="C22" s="16" t="s">
        <v>44</v>
      </c>
      <c r="D22" s="19">
        <v>0</v>
      </c>
      <c r="E22" s="19">
        <v>25</v>
      </c>
      <c r="F22" s="16" t="s">
        <v>43</v>
      </c>
    </row>
    <row r="25" spans="1:7" ht="18" thickBot="1" x14ac:dyDescent="0.3">
      <c r="A25" t="s">
        <v>35</v>
      </c>
    </row>
    <row r="26" spans="1:7" ht="18" thickBot="1" x14ac:dyDescent="0.3">
      <c r="B26" s="17" t="s">
        <v>29</v>
      </c>
      <c r="C26" s="17" t="s">
        <v>30</v>
      </c>
      <c r="D26" s="17" t="s">
        <v>36</v>
      </c>
      <c r="E26" s="17" t="s">
        <v>37</v>
      </c>
      <c r="F26" s="17" t="s">
        <v>38</v>
      </c>
      <c r="G26" s="17" t="s">
        <v>39</v>
      </c>
    </row>
    <row r="27" spans="1:7" x14ac:dyDescent="0.25">
      <c r="B27" s="18" t="s">
        <v>100</v>
      </c>
      <c r="C27" s="18" t="s">
        <v>46</v>
      </c>
      <c r="D27" s="20">
        <v>200</v>
      </c>
      <c r="E27" s="18" t="s">
        <v>101</v>
      </c>
      <c r="F27" s="18" t="s">
        <v>50</v>
      </c>
      <c r="G27" s="18">
        <v>100</v>
      </c>
    </row>
    <row r="28" spans="1:7" x14ac:dyDescent="0.25">
      <c r="B28" s="18" t="s">
        <v>40</v>
      </c>
      <c r="C28" s="18" t="s">
        <v>49</v>
      </c>
      <c r="D28" s="20">
        <v>200</v>
      </c>
      <c r="E28" s="18" t="s">
        <v>102</v>
      </c>
      <c r="F28" s="18" t="s">
        <v>48</v>
      </c>
      <c r="G28" s="18">
        <v>0</v>
      </c>
    </row>
    <row r="29" spans="1:7" x14ac:dyDescent="0.25">
      <c r="B29" s="18" t="s">
        <v>103</v>
      </c>
      <c r="C29" s="18" t="s">
        <v>51</v>
      </c>
      <c r="D29" s="20">
        <v>100</v>
      </c>
      <c r="E29" s="18" t="s">
        <v>104</v>
      </c>
      <c r="F29" s="18" t="s">
        <v>48</v>
      </c>
      <c r="G29" s="18">
        <v>0</v>
      </c>
    </row>
    <row r="30" spans="1:7" ht="18" thickBot="1" x14ac:dyDescent="0.3">
      <c r="B30" s="16" t="s">
        <v>45</v>
      </c>
      <c r="C30" s="16" t="s">
        <v>52</v>
      </c>
      <c r="D30" s="19">
        <v>25</v>
      </c>
      <c r="E30" s="16" t="s">
        <v>47</v>
      </c>
      <c r="F30" s="16" t="s">
        <v>50</v>
      </c>
      <c r="G30" s="16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실습문제 1</vt:lpstr>
      <vt:lpstr>해답 보고서 1</vt:lpstr>
      <vt:lpstr>실습문제 2</vt:lpstr>
      <vt:lpstr>해답 보고서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2020-03-27T10:06:44Z</dcterms:created>
  <dcterms:modified xsi:type="dcterms:W3CDTF">2020-03-28T09:01:57Z</dcterms:modified>
</cp:coreProperties>
</file>