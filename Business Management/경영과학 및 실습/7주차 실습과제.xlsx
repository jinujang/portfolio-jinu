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ngjnwoo/Google 드라이브/1.실행/대학생활/2학년 1학기/ㄴ 경영과학1 및 실습/1~7주차/"/>
    </mc:Choice>
  </mc:AlternateContent>
  <xr:revisionPtr revIDLastSave="0" documentId="13_ncr:1_{BF889F33-0402-024D-884F-7198D6253DD0}" xr6:coauthVersionLast="45" xr6:coauthVersionMax="45" xr10:uidLastSave="{00000000-0000-0000-0000-000000000000}"/>
  <bookViews>
    <workbookView xWindow="240" yWindow="460" windowWidth="24300" windowHeight="17040" xr2:uid="{3016D358-7D47-1046-AA51-36D401862011}"/>
  </bookViews>
  <sheets>
    <sheet name="Sheet1" sheetId="1" r:id="rId1"/>
  </sheets>
  <definedNames>
    <definedName name="solver_adj" localSheetId="0" hidden="1">Sheet1!$B$8:$G$8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itr" localSheetId="0" hidden="1">2147483647</definedName>
    <definedName name="solver_lhs1" localSheetId="0" hidden="1">Sheet1!$B$16:$G$16</definedName>
    <definedName name="solver_lhs2" localSheetId="0" hidden="1">Sheet1!$B$8:$G$8</definedName>
    <definedName name="solver_lhs3" localSheetId="0" hidden="1">Sheet1!$B$8:$G$8</definedName>
    <definedName name="solver_lin" localSheetId="0" hidden="1">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opt" localSheetId="0" hidden="1">Sheet1!$G$26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1</definedName>
    <definedName name="solver_rel3" localSheetId="0" hidden="1">1</definedName>
    <definedName name="solver_rhs1" localSheetId="0" hidden="1">Sheet1!$B$18:$G$18</definedName>
    <definedName name="solver_rhs2" localSheetId="0" hidden="1">Sheet1!$B$10:$G$10</definedName>
    <definedName name="solver_rhs3" localSheetId="0" hidden="1">Sheet1!$B$10:$G$10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</definedName>
    <definedName name="solver_typ" localSheetId="0" hidden="1">2</definedName>
    <definedName name="solver_val" localSheetId="0" hidden="1">0</definedName>
    <definedName name="solver_ver" localSheetId="0" hidden="1">2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6" i="1" l="1"/>
  <c r="C16" i="1" s="1"/>
  <c r="D16" i="1" s="1"/>
  <c r="E16" i="1" s="1"/>
  <c r="F16" i="1" s="1"/>
  <c r="G16" i="1" s="1"/>
  <c r="C24" i="1"/>
  <c r="D24" i="1"/>
  <c r="E24" i="1"/>
  <c r="E25" i="1" s="1"/>
  <c r="F24" i="1"/>
  <c r="F25" i="1" s="1"/>
  <c r="G24" i="1"/>
  <c r="B24" i="1"/>
  <c r="B25" i="1" l="1"/>
  <c r="B26" i="1" s="1"/>
  <c r="D25" i="1"/>
  <c r="D26" i="1" s="1"/>
  <c r="F26" i="1"/>
  <c r="G25" i="1"/>
  <c r="G26" i="1" s="1"/>
  <c r="C25" i="1"/>
  <c r="C26" i="1" s="1"/>
  <c r="E26" i="1"/>
</calcChain>
</file>

<file path=xl/sharedStrings.xml><?xml version="1.0" encoding="utf-8"?>
<sst xmlns="http://schemas.openxmlformats.org/spreadsheetml/2006/main" count="45" uniqueCount="23">
  <si>
    <t>축구공 생산-판매 회사</t>
    <phoneticPr fontId="1" type="noConversion"/>
  </si>
  <si>
    <t>입력자료</t>
    <phoneticPr fontId="1" type="noConversion"/>
  </si>
  <si>
    <t>생산 계획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</si>
  <si>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</si>
  <si>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</si>
  <si>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</si>
  <si>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  <phoneticPr fontId="1" type="noConversion"/>
  </si>
  <si>
    <t>5월</t>
    <phoneticPr fontId="1" type="noConversion"/>
  </si>
  <si>
    <t>6월</t>
    <phoneticPr fontId="1" type="noConversion"/>
  </si>
  <si>
    <t>축구공 생산량</t>
    <phoneticPr fontId="1" type="noConversion"/>
  </si>
  <si>
    <t>월 최대 생산 용량</t>
    <phoneticPr fontId="1" type="noConversion"/>
  </si>
  <si>
    <t>&lt;=</t>
    <phoneticPr fontId="1" type="noConversion"/>
  </si>
  <si>
    <t>수요</t>
    <phoneticPr fontId="1" type="noConversion"/>
  </si>
  <si>
    <t>월말재고</t>
    <phoneticPr fontId="1" type="noConversion"/>
  </si>
  <si>
    <t>수요만족을 위한 조건</t>
    <phoneticPr fontId="1" type="noConversion"/>
  </si>
  <si>
    <t>&gt;=</t>
    <phoneticPr fontId="1" type="noConversion"/>
  </si>
  <si>
    <t>발생비용</t>
    <phoneticPr fontId="1" type="noConversion"/>
  </si>
  <si>
    <t>생산단가</t>
    <phoneticPr fontId="1" type="noConversion"/>
  </si>
  <si>
    <t>생산비용</t>
    <phoneticPr fontId="1" type="noConversion"/>
  </si>
  <si>
    <t>재고비용</t>
    <phoneticPr fontId="1" type="noConversion"/>
  </si>
  <si>
    <t>비용합계</t>
    <phoneticPr fontId="1" type="noConversion"/>
  </si>
  <si>
    <t>월 최대 재고용량</t>
    <phoneticPr fontId="1" type="noConversion"/>
  </si>
  <si>
    <t>초기 재고량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</si>
</sst>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2" borderId="0" xfId="0" applyFont="1" applyFill="1">
      <alignment vertical="center"/>
    </xf>
    <xf numFmtId="0" fontId="0" fillId="2" borderId="0" xfId="0" applyFill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0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D9A6E-C7B7-4B4B-855B-7E565D61FBA7}">
  <dimension ref="A1:G26"/>
  <sheetViews>
    <sheetView tabSelected="1" workbookViewId="0">
      <selection activeCell="B25" sqref="B25"/>
    </sheetView>
  </sheetViews>
  <sheetFormatPr baseColWidth="10" defaultRowHeight="18"/>
  <cols>
    <col min="1" max="1" width="20.5703125" customWidth="1"/>
  </cols>
  <sheetData>
    <row r="1" spans="1:7">
      <c r="A1" t="s">
        <v>0</v>
      </c>
    </row>
    <row r="3" spans="1:7">
      <c r="A3" t="s">
        <v>1</v>
      </c>
    </row>
    <row r="4" spans="1:7">
      <c r="A4" t="s">
        <v>22</v>
      </c>
      <c r="B4">
        <v>5</v>
      </c>
    </row>
    <row r="6" spans="1:7">
      <c r="A6" t="s">
        <v>2</v>
      </c>
    </row>
    <row r="7" spans="1:7">
      <c r="B7" t="s">
        <v>3</v>
      </c>
      <c r="C7" t="s">
        <v>4</v>
      </c>
      <c r="D7" t="s">
        <v>5</v>
      </c>
      <c r="E7" t="s">
        <v>6</v>
      </c>
      <c r="F7" t="s">
        <v>7</v>
      </c>
      <c r="G7" t="s">
        <v>8</v>
      </c>
    </row>
    <row r="8" spans="1:7">
      <c r="A8" t="s">
        <v>9</v>
      </c>
      <c r="B8" s="1">
        <v>30</v>
      </c>
      <c r="C8" s="2">
        <v>30</v>
      </c>
      <c r="D8" s="2">
        <v>30</v>
      </c>
      <c r="E8" s="2">
        <v>30</v>
      </c>
      <c r="F8" s="2">
        <v>0</v>
      </c>
      <c r="G8" s="3">
        <v>0</v>
      </c>
    </row>
    <row r="9" spans="1:7">
      <c r="B9" t="s">
        <v>11</v>
      </c>
      <c r="C9" t="s">
        <v>11</v>
      </c>
      <c r="D9" t="s">
        <v>11</v>
      </c>
      <c r="E9" t="s">
        <v>11</v>
      </c>
      <c r="F9" t="s">
        <v>11</v>
      </c>
      <c r="G9" t="s">
        <v>11</v>
      </c>
    </row>
    <row r="10" spans="1:7">
      <c r="A10" t="s">
        <v>10</v>
      </c>
      <c r="B10" s="4">
        <v>30</v>
      </c>
      <c r="C10" s="4">
        <v>30</v>
      </c>
      <c r="D10" s="4">
        <v>30</v>
      </c>
      <c r="E10" s="4">
        <v>30</v>
      </c>
      <c r="F10" s="4">
        <v>30</v>
      </c>
      <c r="G10" s="4">
        <v>30</v>
      </c>
    </row>
    <row r="12" spans="1:7">
      <c r="A12" t="s">
        <v>12</v>
      </c>
      <c r="B12" s="5">
        <v>10</v>
      </c>
      <c r="C12" s="5">
        <v>15</v>
      </c>
      <c r="D12" s="5">
        <v>30</v>
      </c>
      <c r="E12" s="5">
        <v>35</v>
      </c>
      <c r="F12" s="5">
        <v>25</v>
      </c>
      <c r="G12" s="5">
        <v>10</v>
      </c>
    </row>
    <row r="14" spans="1:7">
      <c r="A14" t="s">
        <v>21</v>
      </c>
      <c r="B14" s="5">
        <v>10</v>
      </c>
      <c r="C14" s="5">
        <v>10</v>
      </c>
      <c r="D14" s="5">
        <v>10</v>
      </c>
      <c r="E14" s="5">
        <v>10</v>
      </c>
      <c r="F14" s="5">
        <v>10</v>
      </c>
      <c r="G14" s="5">
        <v>10</v>
      </c>
    </row>
    <row r="15" spans="1:7"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</row>
    <row r="16" spans="1:7">
      <c r="A16" t="s">
        <v>13</v>
      </c>
      <c r="B16" s="1">
        <f>B4+B8-B12</f>
        <v>25</v>
      </c>
      <c r="C16" s="2">
        <f>B16+C8-C12</f>
        <v>40</v>
      </c>
      <c r="D16" s="2">
        <f>C16+D8-D12</f>
        <v>40</v>
      </c>
      <c r="E16" s="2">
        <f>D16+E8-E12</f>
        <v>35</v>
      </c>
      <c r="F16" s="2">
        <f>E16+F8-F12</f>
        <v>10</v>
      </c>
      <c r="G16" s="3">
        <f>F16+G8-G12</f>
        <v>0</v>
      </c>
    </row>
    <row r="17" spans="1:7">
      <c r="B17" t="s">
        <v>15</v>
      </c>
      <c r="C17" t="s">
        <v>15</v>
      </c>
      <c r="D17" t="s">
        <v>15</v>
      </c>
      <c r="E17" t="s">
        <v>15</v>
      </c>
      <c r="F17" t="s">
        <v>15</v>
      </c>
      <c r="G17" t="s">
        <v>15</v>
      </c>
    </row>
    <row r="18" spans="1:7">
      <c r="A18" t="s">
        <v>14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21" spans="1:7">
      <c r="A21" t="s">
        <v>16</v>
      </c>
    </row>
    <row r="22" spans="1:7">
      <c r="B22" t="s">
        <v>3</v>
      </c>
      <c r="C22" t="s">
        <v>4</v>
      </c>
      <c r="D22" t="s">
        <v>5</v>
      </c>
      <c r="E22" t="s">
        <v>6</v>
      </c>
      <c r="F22" t="s">
        <v>7</v>
      </c>
      <c r="G22" t="s">
        <v>8</v>
      </c>
    </row>
    <row r="23" spans="1:7">
      <c r="A23" t="s">
        <v>17</v>
      </c>
      <c r="B23" s="5">
        <v>12.5</v>
      </c>
      <c r="C23" s="5">
        <v>12.55</v>
      </c>
      <c r="D23" s="5">
        <v>12.7</v>
      </c>
      <c r="E23" s="5">
        <v>12.8</v>
      </c>
      <c r="F23" s="5">
        <v>12.85</v>
      </c>
      <c r="G23" s="5">
        <v>12.95</v>
      </c>
    </row>
    <row r="24" spans="1:7">
      <c r="A24" t="s">
        <v>18</v>
      </c>
      <c r="B24" s="6">
        <f t="shared" ref="B24:G24" si="0">B8*B23</f>
        <v>375</v>
      </c>
      <c r="C24" s="7">
        <f t="shared" si="0"/>
        <v>376.5</v>
      </c>
      <c r="D24" s="7">
        <f t="shared" si="0"/>
        <v>381</v>
      </c>
      <c r="E24" s="7">
        <f t="shared" si="0"/>
        <v>384</v>
      </c>
      <c r="F24" s="7">
        <f t="shared" si="0"/>
        <v>0</v>
      </c>
      <c r="G24" s="8">
        <f t="shared" si="0"/>
        <v>0</v>
      </c>
    </row>
    <row r="25" spans="1:7">
      <c r="A25" t="s">
        <v>19</v>
      </c>
      <c r="B25" s="9">
        <f>B24*0.05</f>
        <v>18.75</v>
      </c>
      <c r="C25" s="10">
        <f t="shared" ref="C25:G25" si="1">C24*0.05</f>
        <v>18.824999999999999</v>
      </c>
      <c r="D25" s="10">
        <f t="shared" si="1"/>
        <v>19.05</v>
      </c>
      <c r="E25" s="10">
        <f t="shared" si="1"/>
        <v>19.200000000000003</v>
      </c>
      <c r="F25" s="10">
        <f t="shared" si="1"/>
        <v>0</v>
      </c>
      <c r="G25" s="11">
        <f t="shared" si="1"/>
        <v>0</v>
      </c>
    </row>
    <row r="26" spans="1:7">
      <c r="A26" t="s">
        <v>20</v>
      </c>
      <c r="B26" s="12">
        <f>B24+B25</f>
        <v>393.75</v>
      </c>
      <c r="C26" s="13">
        <f t="shared" ref="C26:G26" si="2">C24+C25</f>
        <v>395.32499999999999</v>
      </c>
      <c r="D26" s="13">
        <f t="shared" si="2"/>
        <v>400.05</v>
      </c>
      <c r="E26" s="13">
        <f t="shared" si="2"/>
        <v>403.2</v>
      </c>
      <c r="F26" s="13">
        <f t="shared" si="2"/>
        <v>0</v>
      </c>
      <c r="G26" s="14">
        <f t="shared" si="2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 진우</dc:creator>
  <cp:lastModifiedBy>장 진우</cp:lastModifiedBy>
  <dcterms:created xsi:type="dcterms:W3CDTF">2020-04-30T15:24:49Z</dcterms:created>
  <dcterms:modified xsi:type="dcterms:W3CDTF">2020-06-15T02:30:27Z</dcterms:modified>
</cp:coreProperties>
</file>