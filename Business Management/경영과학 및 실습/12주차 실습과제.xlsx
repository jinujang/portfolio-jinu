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ngjnwoo/Google 드라이브/1.실행/대학생활/2학년 1학기/ㄴ 경영과학1 및 실습/8~15주차/"/>
    </mc:Choice>
  </mc:AlternateContent>
  <xr:revisionPtr revIDLastSave="0" documentId="13_ncr:1_{EA726922-7D4C-B54C-AAC5-BC0C4E8520F4}" xr6:coauthVersionLast="45" xr6:coauthVersionMax="45" xr10:uidLastSave="{00000000-0000-0000-0000-000000000000}"/>
  <bookViews>
    <workbookView xWindow="12340" yWindow="2460" windowWidth="16540" windowHeight="14480" activeTab="3" xr2:uid="{B7909050-E48F-EF42-B604-3B2ADE3FF463}"/>
  </bookViews>
  <sheets>
    <sheet name="최소비용 흐름문제" sheetId="1" r:id="rId1"/>
    <sheet name="민감도 보고서 1" sheetId="2" r:id="rId2"/>
    <sheet name="최대흐름문제" sheetId="4" r:id="rId3"/>
    <sheet name="최단경로문제" sheetId="6" r:id="rId4"/>
    <sheet name="최단경로문제 (2)" sheetId="10" r:id="rId5"/>
  </sheets>
  <definedNames>
    <definedName name="solver_adj" localSheetId="3" hidden="1">최단경로문제!$D$5:$D$20,최단경로문제!$G$5:$G$12</definedName>
    <definedName name="solver_adj" localSheetId="4" hidden="1">'최단경로문제 (2)'!$D$5:$D$20,'최단경로문제 (2)'!$G$5:$G$12</definedName>
    <definedName name="solver_adj" localSheetId="2" hidden="1">최대흐름문제!$C$5:$C$20</definedName>
    <definedName name="solver_adj" localSheetId="0" hidden="1">'최소비용 흐름문제'!$D$5:$D$20</definedName>
    <definedName name="solver_cvg" localSheetId="3" hidden="1">0.0001</definedName>
    <definedName name="solver_cvg" localSheetId="4" hidden="1">0.0001</definedName>
    <definedName name="solver_cvg" localSheetId="2" hidden="1">0.0001</definedName>
    <definedName name="solver_cvg" localSheetId="0" hidden="1">0.0001</definedName>
    <definedName name="solver_drv" localSheetId="3" hidden="1">1</definedName>
    <definedName name="solver_drv" localSheetId="4" hidden="1">1</definedName>
    <definedName name="solver_drv" localSheetId="2" hidden="1">1</definedName>
    <definedName name="solver_drv" localSheetId="0" hidden="1">1</definedName>
    <definedName name="solver_eng" localSheetId="3" hidden="1">2</definedName>
    <definedName name="solver_eng" localSheetId="4" hidden="1">2</definedName>
    <definedName name="solver_eng" localSheetId="2" hidden="1">2</definedName>
    <definedName name="solver_eng" localSheetId="0" hidden="1">2</definedName>
    <definedName name="solver_itr" localSheetId="3" hidden="1">2147483647</definedName>
    <definedName name="solver_itr" localSheetId="4" hidden="1">2147483647</definedName>
    <definedName name="solver_itr" localSheetId="2" hidden="1">2147483647</definedName>
    <definedName name="solver_itr" localSheetId="0" hidden="1">2147483647</definedName>
    <definedName name="solver_lhs1" localSheetId="3" hidden="1">최단경로문제!$G$5:$G$12</definedName>
    <definedName name="solver_lhs1" localSheetId="4" hidden="1">'최단경로문제 (2)'!$G$5:$G$12</definedName>
    <definedName name="solver_lhs1" localSheetId="2" hidden="1">최대흐름문제!$C$5:$C$12</definedName>
    <definedName name="solver_lhs1" localSheetId="0" hidden="1">'최소비용 흐름문제'!$D$5:$D$20</definedName>
    <definedName name="solver_lhs2" localSheetId="3" hidden="1">최단경로문제!$G$11</definedName>
    <definedName name="solver_lhs2" localSheetId="4" hidden="1">'최단경로문제 (2)'!$G$11</definedName>
    <definedName name="solver_lhs2" localSheetId="2" hidden="1">최대흐름문제!$G$7:$G$11</definedName>
    <definedName name="solver_lhs2" localSheetId="0" hidden="1">'최소비용 흐름문제'!$I$10</definedName>
    <definedName name="solver_lhs3" localSheetId="3" hidden="1">최단경로문제!$G$12</definedName>
    <definedName name="solver_lhs3" localSheetId="4" hidden="1">'최단경로문제 (2)'!$G$12</definedName>
    <definedName name="solver_lhs3" localSheetId="2" hidden="1">최대흐름문제!$H$11</definedName>
    <definedName name="solver_lhs3" localSheetId="0" hidden="1">'최소비용 흐름문제'!$I$11</definedName>
    <definedName name="solver_lhs4" localSheetId="3" hidden="1">최단경로문제!$G$5</definedName>
    <definedName name="solver_lhs4" localSheetId="4" hidden="1">'최단경로문제 (2)'!$G$5</definedName>
    <definedName name="solver_lhs4" localSheetId="2" hidden="1">최대흐름문제!$H$12</definedName>
    <definedName name="solver_lhs4" localSheetId="0" hidden="1">'최소비용 흐름문제'!$I$12</definedName>
    <definedName name="solver_lhs5" localSheetId="3" hidden="1">최단경로문제!$G$6</definedName>
    <definedName name="solver_lhs5" localSheetId="4" hidden="1">'최단경로문제 (2)'!$G$6</definedName>
    <definedName name="solver_lhs5" localSheetId="2" hidden="1">최대흐름문제!$H$5</definedName>
    <definedName name="solver_lhs5" localSheetId="0" hidden="1">'최소비용 흐름문제'!$I$5</definedName>
    <definedName name="solver_lhs6" localSheetId="3" hidden="1">최단경로문제!$G$7</definedName>
    <definedName name="solver_lhs6" localSheetId="4" hidden="1">'최단경로문제 (2)'!$G$7</definedName>
    <definedName name="solver_lhs6" localSheetId="2" hidden="1">최대흐름문제!$H$6</definedName>
    <definedName name="solver_lhs6" localSheetId="0" hidden="1">'최소비용 흐름문제'!$I$6</definedName>
    <definedName name="solver_lhs7" localSheetId="3" hidden="1">최단경로문제!$G$8</definedName>
    <definedName name="solver_lhs7" localSheetId="4" hidden="1">'최단경로문제 (2)'!$G$8</definedName>
    <definedName name="solver_lhs7" localSheetId="2" hidden="1">최대흐름문제!$H$7</definedName>
    <definedName name="solver_lhs7" localSheetId="0" hidden="1">'최소비용 흐름문제'!$I$7</definedName>
    <definedName name="solver_lhs8" localSheetId="3" hidden="1">최단경로문제!$G$9</definedName>
    <definedName name="solver_lhs8" localSheetId="4" hidden="1">'최단경로문제 (2)'!$G$9</definedName>
    <definedName name="solver_lhs8" localSheetId="2" hidden="1">최대흐름문제!$H$8</definedName>
    <definedName name="solver_lhs8" localSheetId="0" hidden="1">'최소비용 흐름문제'!$I$8</definedName>
    <definedName name="solver_lhs9" localSheetId="3" hidden="1">최단경로문제!$G$9</definedName>
    <definedName name="solver_lhs9" localSheetId="4" hidden="1">'최단경로문제 (2)'!$G$9</definedName>
    <definedName name="solver_lhs9" localSheetId="2" hidden="1">최대흐름문제!$H$9</definedName>
    <definedName name="solver_lhs9" localSheetId="0" hidden="1">'최소비용 흐름문제'!$I$9</definedName>
    <definedName name="solver_lin" localSheetId="3" hidden="1">1</definedName>
    <definedName name="solver_lin" localSheetId="4" hidden="1">1</definedName>
    <definedName name="solver_lin" localSheetId="2" hidden="1">1</definedName>
    <definedName name="solver_lin" localSheetId="0" hidden="1">1</definedName>
    <definedName name="solver_mip" localSheetId="3" hidden="1">2147483647</definedName>
    <definedName name="solver_mip" localSheetId="4" hidden="1">2147483647</definedName>
    <definedName name="solver_mip" localSheetId="2" hidden="1">2147483647</definedName>
    <definedName name="solver_mip" localSheetId="0" hidden="1">2147483647</definedName>
    <definedName name="solver_mni" localSheetId="3" hidden="1">30</definedName>
    <definedName name="solver_mni" localSheetId="4" hidden="1">30</definedName>
    <definedName name="solver_mni" localSheetId="2" hidden="1">30</definedName>
    <definedName name="solver_mni" localSheetId="0" hidden="1">30</definedName>
    <definedName name="solver_mrt" localSheetId="3" hidden="1">0.075</definedName>
    <definedName name="solver_mrt" localSheetId="4" hidden="1">0.075</definedName>
    <definedName name="solver_mrt" localSheetId="2" hidden="1">0.075</definedName>
    <definedName name="solver_mrt" localSheetId="0" hidden="1">0.075</definedName>
    <definedName name="solver_msl" localSheetId="3" hidden="1">2</definedName>
    <definedName name="solver_msl" localSheetId="4" hidden="1">2</definedName>
    <definedName name="solver_msl" localSheetId="2" hidden="1">2</definedName>
    <definedName name="solver_msl" localSheetId="0" hidden="1">2</definedName>
    <definedName name="solver_neg" localSheetId="3" hidden="1">1</definedName>
    <definedName name="solver_neg" localSheetId="4" hidden="1">1</definedName>
    <definedName name="solver_neg" localSheetId="2" hidden="1">1</definedName>
    <definedName name="solver_neg" localSheetId="0" hidden="1">1</definedName>
    <definedName name="solver_nod" localSheetId="3" hidden="1">2147483647</definedName>
    <definedName name="solver_nod" localSheetId="4" hidden="1">2147483647</definedName>
    <definedName name="solver_nod" localSheetId="2" hidden="1">2147483647</definedName>
    <definedName name="solver_nod" localSheetId="0" hidden="1">2147483647</definedName>
    <definedName name="solver_num" localSheetId="3" hidden="1">1</definedName>
    <definedName name="solver_num" localSheetId="4" hidden="1">1</definedName>
    <definedName name="solver_num" localSheetId="2" hidden="1">2</definedName>
    <definedName name="solver_num" localSheetId="0" hidden="1">9</definedName>
    <definedName name="solver_opt" localSheetId="3" hidden="1">최단경로문제!$B$23</definedName>
    <definedName name="solver_opt" localSheetId="4" hidden="1">'최단경로문제 (2)'!$B$23</definedName>
    <definedName name="solver_opt" localSheetId="2" hidden="1">최대흐름문제!$B$23</definedName>
    <definedName name="solver_opt" localSheetId="0" hidden="1">'최소비용 흐름문제'!$B$23</definedName>
    <definedName name="solver_pre" localSheetId="3" hidden="1">0.000001</definedName>
    <definedName name="solver_pre" localSheetId="4" hidden="1">0.000001</definedName>
    <definedName name="solver_pre" localSheetId="2" hidden="1">0.000001</definedName>
    <definedName name="solver_pre" localSheetId="0" hidden="1">0.000001</definedName>
    <definedName name="solver_rbv" localSheetId="3" hidden="1">1</definedName>
    <definedName name="solver_rbv" localSheetId="4" hidden="1">1</definedName>
    <definedName name="solver_rbv" localSheetId="2" hidden="1">1</definedName>
    <definedName name="solver_rbv" localSheetId="0" hidden="1">1</definedName>
    <definedName name="solver_rel1" localSheetId="3" hidden="1">2</definedName>
    <definedName name="solver_rel1" localSheetId="4" hidden="1">2</definedName>
    <definedName name="solver_rel1" localSheetId="2" hidden="1">1</definedName>
    <definedName name="solver_rel1" localSheetId="0" hidden="1">1</definedName>
    <definedName name="solver_rel2" localSheetId="3" hidden="1">2</definedName>
    <definedName name="solver_rel2" localSheetId="4" hidden="1">2</definedName>
    <definedName name="solver_rel2" localSheetId="2" hidden="1">2</definedName>
    <definedName name="solver_rel2" localSheetId="0" hidden="1">2</definedName>
    <definedName name="solver_rel3" localSheetId="3" hidden="1">2</definedName>
    <definedName name="solver_rel3" localSheetId="4" hidden="1">2</definedName>
    <definedName name="solver_rel3" localSheetId="2" hidden="1">2</definedName>
    <definedName name="solver_rel3" localSheetId="0" hidden="1">2</definedName>
    <definedName name="solver_rel4" localSheetId="3" hidden="1">1</definedName>
    <definedName name="solver_rel4" localSheetId="4" hidden="1">1</definedName>
    <definedName name="solver_rel4" localSheetId="2" hidden="1">2</definedName>
    <definedName name="solver_rel4" localSheetId="0" hidden="1">2</definedName>
    <definedName name="solver_rel5" localSheetId="3" hidden="1">2</definedName>
    <definedName name="solver_rel5" localSheetId="4" hidden="1">2</definedName>
    <definedName name="solver_rel5" localSheetId="2" hidden="1">1</definedName>
    <definedName name="solver_rel5" localSheetId="0" hidden="1">1</definedName>
    <definedName name="solver_rel6" localSheetId="3" hidden="1">2</definedName>
    <definedName name="solver_rel6" localSheetId="4" hidden="1">2</definedName>
    <definedName name="solver_rel6" localSheetId="2" hidden="1">2</definedName>
    <definedName name="solver_rel6" localSheetId="0" hidden="1">2</definedName>
    <definedName name="solver_rel7" localSheetId="3" hidden="1">1</definedName>
    <definedName name="solver_rel7" localSheetId="4" hidden="1">1</definedName>
    <definedName name="solver_rel7" localSheetId="2" hidden="1">2</definedName>
    <definedName name="solver_rel7" localSheetId="0" hidden="1">2</definedName>
    <definedName name="solver_rel8" localSheetId="3" hidden="1">1</definedName>
    <definedName name="solver_rel8" localSheetId="4" hidden="1">1</definedName>
    <definedName name="solver_rel8" localSheetId="2" hidden="1">1</definedName>
    <definedName name="solver_rel8" localSheetId="0" hidden="1">1</definedName>
    <definedName name="solver_rel9" localSheetId="3" hidden="1">1</definedName>
    <definedName name="solver_rel9" localSheetId="4" hidden="1">1</definedName>
    <definedName name="solver_rel9" localSheetId="2" hidden="1">1</definedName>
    <definedName name="solver_rel9" localSheetId="0" hidden="1">1</definedName>
    <definedName name="solver_rhs1" localSheetId="3" hidden="1">최단경로문제!$I$5:$I$12</definedName>
    <definedName name="solver_rhs1" localSheetId="4" hidden="1">'최단경로문제 (2)'!$I$5:$I$12</definedName>
    <definedName name="solver_rhs1" localSheetId="2" hidden="1">최대흐름문제!$E$5:$E$12</definedName>
    <definedName name="solver_rhs1" localSheetId="0" hidden="1">'최소비용 흐름문제'!$F$5:$F$20</definedName>
    <definedName name="solver_rhs2" localSheetId="3" hidden="1">최단경로문제!$I$11</definedName>
    <definedName name="solver_rhs2" localSheetId="4" hidden="1">'최단경로문제 (2)'!$I$11</definedName>
    <definedName name="solver_rhs2" localSheetId="2" hidden="1">최대흐름문제!$J$7:$J$11</definedName>
    <definedName name="solver_rhs2" localSheetId="0" hidden="1">'최소비용 흐름문제'!$K$10</definedName>
    <definedName name="solver_rhs3" localSheetId="3" hidden="1">최단경로문제!$I$12</definedName>
    <definedName name="solver_rhs3" localSheetId="4" hidden="1">'최단경로문제 (2)'!$I$12</definedName>
    <definedName name="solver_rhs3" localSheetId="2" hidden="1">최대흐름문제!$J$11</definedName>
    <definedName name="solver_rhs3" localSheetId="0" hidden="1">'최소비용 흐름문제'!$K$11</definedName>
    <definedName name="solver_rhs4" localSheetId="3" hidden="1">최단경로문제!$I$5</definedName>
    <definedName name="solver_rhs4" localSheetId="4" hidden="1">'최단경로문제 (2)'!$I$5</definedName>
    <definedName name="solver_rhs4" localSheetId="2" hidden="1">최대흐름문제!$J$12</definedName>
    <definedName name="solver_rhs4" localSheetId="0" hidden="1">'최소비용 흐름문제'!$K$12</definedName>
    <definedName name="solver_rhs5" localSheetId="3" hidden="1">최단경로문제!$I$6</definedName>
    <definedName name="solver_rhs5" localSheetId="4" hidden="1">'최단경로문제 (2)'!$I$6</definedName>
    <definedName name="solver_rhs5" localSheetId="2" hidden="1">최대흐름문제!$J$5</definedName>
    <definedName name="solver_rhs5" localSheetId="0" hidden="1">'최소비용 흐름문제'!$K$5</definedName>
    <definedName name="solver_rhs6" localSheetId="3" hidden="1">최단경로문제!$I$7</definedName>
    <definedName name="solver_rhs6" localSheetId="4" hidden="1">'최단경로문제 (2)'!$I$7</definedName>
    <definedName name="solver_rhs6" localSheetId="2" hidden="1">최대흐름문제!$J$6</definedName>
    <definedName name="solver_rhs6" localSheetId="0" hidden="1">'최소비용 흐름문제'!$K$6</definedName>
    <definedName name="solver_rhs7" localSheetId="3" hidden="1">최단경로문제!$I$8</definedName>
    <definedName name="solver_rhs7" localSheetId="4" hidden="1">'최단경로문제 (2)'!$I$8</definedName>
    <definedName name="solver_rhs7" localSheetId="2" hidden="1">최대흐름문제!$J$7</definedName>
    <definedName name="solver_rhs7" localSheetId="0" hidden="1">'최소비용 흐름문제'!$K$7</definedName>
    <definedName name="solver_rhs8" localSheetId="3" hidden="1">최단경로문제!$I$9</definedName>
    <definedName name="solver_rhs8" localSheetId="4" hidden="1">'최단경로문제 (2)'!$I$9</definedName>
    <definedName name="solver_rhs8" localSheetId="2" hidden="1">최대흐름문제!$J$8</definedName>
    <definedName name="solver_rhs8" localSheetId="0" hidden="1">'최소비용 흐름문제'!$K$8</definedName>
    <definedName name="solver_rhs9" localSheetId="3" hidden="1">최단경로문제!$I$9</definedName>
    <definedName name="solver_rhs9" localSheetId="4" hidden="1">'최단경로문제 (2)'!$I$9</definedName>
    <definedName name="solver_rhs9" localSheetId="2" hidden="1">최대흐름문제!$J$9</definedName>
    <definedName name="solver_rhs9" localSheetId="0" hidden="1">'최소비용 흐름문제'!$K$9</definedName>
    <definedName name="solver_rlx" localSheetId="3" hidden="1">1</definedName>
    <definedName name="solver_rlx" localSheetId="4" hidden="1">1</definedName>
    <definedName name="solver_rlx" localSheetId="2" hidden="1">1</definedName>
    <definedName name="solver_rlx" localSheetId="0" hidden="1">1</definedName>
    <definedName name="solver_rsd" localSheetId="3" hidden="1">0</definedName>
    <definedName name="solver_rsd" localSheetId="4" hidden="1">0</definedName>
    <definedName name="solver_rsd" localSheetId="2" hidden="1">0</definedName>
    <definedName name="solver_rsd" localSheetId="0" hidden="1">0</definedName>
    <definedName name="solver_scl" localSheetId="3" hidden="1">2</definedName>
    <definedName name="solver_scl" localSheetId="4" hidden="1">2</definedName>
    <definedName name="solver_scl" localSheetId="2" hidden="1">2</definedName>
    <definedName name="solver_scl" localSheetId="0" hidden="1">2</definedName>
    <definedName name="solver_sho" localSheetId="3" hidden="1">2</definedName>
    <definedName name="solver_sho" localSheetId="4" hidden="1">2</definedName>
    <definedName name="solver_sho" localSheetId="2" hidden="1">2</definedName>
    <definedName name="solver_sho" localSheetId="0" hidden="1">2</definedName>
    <definedName name="solver_ssz" localSheetId="3" hidden="1">100</definedName>
    <definedName name="solver_ssz" localSheetId="4" hidden="1">100</definedName>
    <definedName name="solver_ssz" localSheetId="2" hidden="1">100</definedName>
    <definedName name="solver_ssz" localSheetId="0" hidden="1">100</definedName>
    <definedName name="solver_tim" localSheetId="3" hidden="1">2147483647</definedName>
    <definedName name="solver_tim" localSheetId="4" hidden="1">2147483647</definedName>
    <definedName name="solver_tim" localSheetId="2" hidden="1">2147483647</definedName>
    <definedName name="solver_tim" localSheetId="0" hidden="1">2147483647</definedName>
    <definedName name="solver_tol" localSheetId="3" hidden="1">0.01</definedName>
    <definedName name="solver_tol" localSheetId="4" hidden="1">0.01</definedName>
    <definedName name="solver_tol" localSheetId="2" hidden="1">0.01</definedName>
    <definedName name="solver_tol" localSheetId="0" hidden="1">0.01</definedName>
    <definedName name="solver_typ" localSheetId="3" hidden="1">2</definedName>
    <definedName name="solver_typ" localSheetId="4" hidden="1">2</definedName>
    <definedName name="solver_typ" localSheetId="2" hidden="1">1</definedName>
    <definedName name="solver_typ" localSheetId="0" hidden="1">2</definedName>
    <definedName name="solver_val" localSheetId="3" hidden="1">0</definedName>
    <definedName name="solver_val" localSheetId="4" hidden="1">0</definedName>
    <definedName name="solver_val" localSheetId="2" hidden="1">0</definedName>
    <definedName name="solver_val" localSheetId="0" hidden="1">0</definedName>
    <definedName name="solver_ver" localSheetId="3" hidden="1">2</definedName>
    <definedName name="solver_ver" localSheetId="4" hidden="1">2</definedName>
    <definedName name="solver_ver" localSheetId="2" hidden="1">2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3" i="10" l="1"/>
  <c r="G5" i="6"/>
  <c r="H5" i="4"/>
  <c r="B23" i="4" s="1"/>
  <c r="B23" i="6"/>
  <c r="G12" i="6"/>
  <c r="G11" i="6"/>
  <c r="G10" i="6"/>
  <c r="G9" i="6"/>
  <c r="G8" i="6"/>
  <c r="G7" i="6"/>
  <c r="G6" i="6"/>
  <c r="H12" i="4"/>
  <c r="H6" i="4"/>
  <c r="I6" i="1"/>
  <c r="I7" i="1"/>
  <c r="I8" i="1"/>
  <c r="I9" i="1"/>
  <c r="I10" i="1"/>
  <c r="I11" i="1"/>
  <c r="I12" i="1"/>
  <c r="I5" i="1"/>
  <c r="B23" i="1"/>
</calcChain>
</file>

<file path=xl/sharedStrings.xml><?xml version="1.0" encoding="utf-8"?>
<sst xmlns="http://schemas.openxmlformats.org/spreadsheetml/2006/main" count="337" uniqueCount="83">
  <si>
    <t>최소비용 흐름문제</t>
    <phoneticPr fontId="2" type="noConversion"/>
  </si>
  <si>
    <t>시작노드</t>
    <phoneticPr fontId="2" type="noConversion"/>
  </si>
  <si>
    <t>끝노드</t>
    <phoneticPr fontId="2" type="noConversion"/>
  </si>
  <si>
    <t>아크비용</t>
    <phoneticPr fontId="2" type="noConversion"/>
  </si>
  <si>
    <t>흐름량</t>
    <phoneticPr fontId="2" type="noConversion"/>
  </si>
  <si>
    <t>용량한계</t>
    <phoneticPr fontId="2" type="noConversion"/>
  </si>
  <si>
    <t>노드</t>
    <phoneticPr fontId="2" type="noConversion"/>
  </si>
  <si>
    <t>순수공급량</t>
    <phoneticPr fontId="2" type="noConversion"/>
  </si>
  <si>
    <t>의무유출량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</si>
  <si>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</si>
  <si>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</si>
  <si>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</si>
  <si>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</si>
  <si>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</si>
  <si>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</si>
  <si>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</si>
  <si>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</si>
  <si>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&lt;=</t>
    <phoneticPr fontId="2" type="noConversion"/>
  </si>
  <si>
    <t>총 비용</t>
    <phoneticPr fontId="2" type="noConversion"/>
  </si>
  <si>
    <t>=</t>
    <phoneticPr fontId="2" type="noConversion"/>
  </si>
  <si>
    <t>Microsoft Excel 16.37 민감도 보고서</t>
  </si>
  <si>
    <t>워크시트 이름: [통합 문서2]Sheet1</t>
  </si>
  <si>
    <t>보고서 작성일: 2020. 6. 3. 10:55:12 오전</t>
  </si>
  <si>
    <t>변수 셀</t>
  </si>
  <si>
    <t>셀</t>
  </si>
  <si>
    <t>이름</t>
  </si>
  <si>
    <t>계산</t>
  </si>
  <si>
    <t>값</t>
  </si>
  <si>
    <t>한계</t>
  </si>
  <si>
    <t>비용</t>
  </si>
  <si>
    <t>목표 셀</t>
  </si>
  <si>
    <t>계수</t>
  </si>
  <si>
    <t>허용 가능</t>
  </si>
  <si>
    <t>증가치</t>
  </si>
  <si>
    <t>감소치</t>
  </si>
  <si>
    <t>제한 조건</t>
  </si>
  <si>
    <t>잠재</t>
  </si>
  <si>
    <t>가격</t>
  </si>
  <si>
    <t>우변</t>
  </si>
  <si>
    <t>$D$5</t>
  </si>
  <si>
    <t>B 흐름량</t>
  </si>
  <si>
    <t>$D$6</t>
  </si>
  <si>
    <t>C 흐름량</t>
  </si>
  <si>
    <t>$D$7</t>
  </si>
  <si>
    <t>$D$8</t>
  </si>
  <si>
    <t>E 흐름량</t>
  </si>
  <si>
    <t>$D$9</t>
  </si>
  <si>
    <t>D 흐름량</t>
  </si>
  <si>
    <t>$D$10</t>
  </si>
  <si>
    <t>$D$11</t>
  </si>
  <si>
    <t>F 흐름량</t>
  </si>
  <si>
    <t>$D$12</t>
  </si>
  <si>
    <t>A 흐름량</t>
  </si>
  <si>
    <t>$D$13</t>
  </si>
  <si>
    <t>$D$14</t>
  </si>
  <si>
    <t>G 흐름량</t>
  </si>
  <si>
    <t>$D$15</t>
  </si>
  <si>
    <t>$D$16</t>
  </si>
  <si>
    <t>$D$17</t>
  </si>
  <si>
    <t>H 흐름량</t>
  </si>
  <si>
    <t>$D$18</t>
  </si>
  <si>
    <t>$D$19</t>
  </si>
  <si>
    <t>$D$20</t>
  </si>
  <si>
    <t>$I$10</t>
  </si>
  <si>
    <t>F 순수공급량</t>
  </si>
  <si>
    <t>$I$11</t>
  </si>
  <si>
    <t>G 순수공급량</t>
  </si>
  <si>
    <t>$I$12</t>
  </si>
  <si>
    <t>H 순수공급량</t>
  </si>
  <si>
    <t>$I$5</t>
  </si>
  <si>
    <t>A 순수공급량</t>
  </si>
  <si>
    <t>$I$6</t>
  </si>
  <si>
    <t>B 순수공급량</t>
  </si>
  <si>
    <t>$I$7</t>
  </si>
  <si>
    <t>C 순수공급량</t>
  </si>
  <si>
    <t>$I$8</t>
  </si>
  <si>
    <t>D 순수공급량</t>
  </si>
  <si>
    <t>$I$9</t>
  </si>
  <si>
    <t>E 순수공급량</t>
  </si>
  <si>
    <t>(2) E-&gt;G아크의 흐름량을 늘리는것이 바람직하다</t>
    <phoneticPr fontId="2" type="noConversion"/>
  </si>
  <si>
    <t>최대흐름문제</t>
    <phoneticPr fontId="2" type="noConversion"/>
  </si>
  <si>
    <t>최단경로문제</t>
    <phoneticPr fontId="2" type="noConversion"/>
  </si>
  <si>
    <t>총 거리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</si>
</sst>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indexed="1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49BB-6935-9D4F-AD65-137ACAB36CEE}">
  <dimension ref="A1:K23"/>
  <sheetViews>
    <sheetView workbookViewId="0">
      <selection activeCell="B23" sqref="B23"/>
    </sheetView>
  </sheetViews>
  <sheetFormatPr baseColWidth="10" defaultRowHeight="18"/>
  <sheetData>
    <row r="1" spans="1:11">
      <c r="A1" t="s">
        <v>0</v>
      </c>
    </row>
    <row r="4" spans="1:11">
      <c r="A4" t="s">
        <v>1</v>
      </c>
      <c r="B4" t="s">
        <v>2</v>
      </c>
      <c r="C4" t="s">
        <v>3</v>
      </c>
      <c r="D4" t="s">
        <v>4</v>
      </c>
      <c r="F4" t="s">
        <v>5</v>
      </c>
      <c r="H4" t="s">
        <v>6</v>
      </c>
      <c r="I4" t="s">
        <v>7</v>
      </c>
      <c r="K4" t="s">
        <v>8</v>
      </c>
    </row>
    <row r="5" spans="1:11">
      <c r="A5" s="1" t="s">
        <v>9</v>
      </c>
      <c r="B5" s="1" t="s">
        <v>10</v>
      </c>
      <c r="C5" s="1">
        <v>9</v>
      </c>
      <c r="D5">
        <v>0</v>
      </c>
      <c r="E5" t="s">
        <v>17</v>
      </c>
      <c r="F5" s="1">
        <v>12</v>
      </c>
      <c r="H5" t="s">
        <v>9</v>
      </c>
      <c r="I5">
        <f>SUMIF($A$5:$A$20,H5,$D5:$D$20)-SUMIF($B$5:$B$20,H5,$D$5:$D$20)</f>
        <v>0</v>
      </c>
      <c r="J5" t="s">
        <v>17</v>
      </c>
      <c r="K5" s="1">
        <v>20</v>
      </c>
    </row>
    <row r="6" spans="1:11">
      <c r="A6" s="1" t="s">
        <v>9</v>
      </c>
      <c r="B6" s="1" t="s">
        <v>11</v>
      </c>
      <c r="C6" s="1">
        <v>10</v>
      </c>
      <c r="D6">
        <v>0</v>
      </c>
      <c r="E6" t="s">
        <v>17</v>
      </c>
      <c r="F6" s="1">
        <v>10</v>
      </c>
      <c r="H6" t="s">
        <v>10</v>
      </c>
      <c r="I6">
        <f ca="1">SUMIF($A$5:$A$20,H6,$D6:$D$20)-SUMIF($B$5:$B$20,H6,$D$5:$D$20)</f>
        <v>0</v>
      </c>
      <c r="J6" t="s">
        <v>19</v>
      </c>
      <c r="K6" s="1">
        <v>0</v>
      </c>
    </row>
    <row r="7" spans="1:11">
      <c r="A7" s="1" t="s">
        <v>10</v>
      </c>
      <c r="B7" s="1" t="s">
        <v>11</v>
      </c>
      <c r="C7" s="1">
        <v>13</v>
      </c>
      <c r="D7">
        <v>0</v>
      </c>
      <c r="E7" t="s">
        <v>17</v>
      </c>
      <c r="F7" s="1">
        <v>15</v>
      </c>
      <c r="H7" t="s">
        <v>11</v>
      </c>
      <c r="I7">
        <f ca="1">SUMIF($A$5:$A$20,H7,$D7:$D$20)-SUMIF($B$5:$B$20,H7,$D$5:$D$20)</f>
        <v>0</v>
      </c>
      <c r="J7" t="s">
        <v>19</v>
      </c>
      <c r="K7" s="1">
        <v>0</v>
      </c>
    </row>
    <row r="8" spans="1:11">
      <c r="A8" s="1" t="s">
        <v>10</v>
      </c>
      <c r="B8" s="1" t="s">
        <v>13</v>
      </c>
      <c r="C8" s="1">
        <v>15</v>
      </c>
      <c r="D8">
        <v>0</v>
      </c>
      <c r="E8" t="s">
        <v>17</v>
      </c>
      <c r="F8" s="1">
        <v>11</v>
      </c>
      <c r="H8" t="s">
        <v>12</v>
      </c>
      <c r="I8">
        <f ca="1">SUMIF($A$5:$A$20,H8,$D8:$D$20)-SUMIF($B$5:$B$20,H8,$D$5:$D$20)</f>
        <v>10</v>
      </c>
      <c r="J8" t="s">
        <v>17</v>
      </c>
      <c r="K8" s="1">
        <v>10</v>
      </c>
    </row>
    <row r="9" spans="1:11">
      <c r="A9" s="1" t="s">
        <v>11</v>
      </c>
      <c r="B9" s="1" t="s">
        <v>12</v>
      </c>
      <c r="C9" s="1">
        <v>12</v>
      </c>
      <c r="D9">
        <v>0</v>
      </c>
      <c r="E9" t="s">
        <v>17</v>
      </c>
      <c r="F9" s="1">
        <v>10</v>
      </c>
      <c r="H9" t="s">
        <v>13</v>
      </c>
      <c r="I9">
        <f ca="1">SUMIF($A$5:$A$20,H9,$D9:$D$20)-SUMIF($B$5:$B$20,H9,$D$5:$D$20)</f>
        <v>5</v>
      </c>
      <c r="J9" t="s">
        <v>17</v>
      </c>
      <c r="K9" s="1">
        <v>5</v>
      </c>
    </row>
    <row r="10" spans="1:11">
      <c r="A10" s="1" t="s">
        <v>11</v>
      </c>
      <c r="B10" s="1" t="s">
        <v>13</v>
      </c>
      <c r="C10" s="1">
        <v>13</v>
      </c>
      <c r="D10">
        <v>0</v>
      </c>
      <c r="E10" t="s">
        <v>17</v>
      </c>
      <c r="F10" s="1">
        <v>13</v>
      </c>
      <c r="H10" t="s">
        <v>14</v>
      </c>
      <c r="I10">
        <f ca="1">SUMIF($A$5:$A$20,H10,$D10:$D$20)-SUMIF($B$5:$B$20,H10,$D$5:$D$20)</f>
        <v>0</v>
      </c>
      <c r="J10" t="s">
        <v>19</v>
      </c>
      <c r="K10" s="1">
        <v>0</v>
      </c>
    </row>
    <row r="11" spans="1:11">
      <c r="A11" s="1" t="s">
        <v>11</v>
      </c>
      <c r="B11" s="1" t="s">
        <v>14</v>
      </c>
      <c r="C11" s="1">
        <v>12</v>
      </c>
      <c r="D11">
        <v>0</v>
      </c>
      <c r="E11" t="s">
        <v>17</v>
      </c>
      <c r="F11" s="1">
        <v>11</v>
      </c>
      <c r="H11" t="s">
        <v>15</v>
      </c>
      <c r="I11">
        <f ca="1">SUMIF($A$5:$A$20,H11,$D11:$D$20)-SUMIF($B$5:$B$20,H11,$D$5:$D$20)</f>
        <v>-15</v>
      </c>
      <c r="J11" t="s">
        <v>19</v>
      </c>
      <c r="K11" s="1">
        <v>-15</v>
      </c>
    </row>
    <row r="12" spans="1:11">
      <c r="A12" s="1" t="s">
        <v>12</v>
      </c>
      <c r="B12" s="1" t="s">
        <v>9</v>
      </c>
      <c r="C12" s="1">
        <v>3</v>
      </c>
      <c r="D12">
        <v>0</v>
      </c>
      <c r="E12" t="s">
        <v>17</v>
      </c>
      <c r="F12" s="1">
        <v>12</v>
      </c>
      <c r="H12" t="s">
        <v>16</v>
      </c>
      <c r="I12">
        <f ca="1">SUMIF($A$5:$A$20,H12,$D12:$D$20)-SUMIF($B$5:$B$20,H12,$D$5:$D$20)</f>
        <v>-15</v>
      </c>
      <c r="J12" t="s">
        <v>19</v>
      </c>
      <c r="K12" s="1">
        <v>-15</v>
      </c>
    </row>
    <row r="13" spans="1:11">
      <c r="A13" s="1" t="s">
        <v>12</v>
      </c>
      <c r="B13" s="1" t="s">
        <v>14</v>
      </c>
      <c r="C13" s="1">
        <v>7</v>
      </c>
      <c r="D13">
        <v>0</v>
      </c>
      <c r="E13" t="s">
        <v>17</v>
      </c>
      <c r="F13" s="1">
        <v>6</v>
      </c>
    </row>
    <row r="14" spans="1:11">
      <c r="A14" s="1" t="s">
        <v>12</v>
      </c>
      <c r="B14" s="1" t="s">
        <v>15</v>
      </c>
      <c r="C14" s="1">
        <v>5</v>
      </c>
      <c r="D14">
        <v>15</v>
      </c>
      <c r="E14" t="s">
        <v>17</v>
      </c>
      <c r="F14" s="1">
        <v>16</v>
      </c>
    </row>
    <row r="15" spans="1:11">
      <c r="A15" s="1" t="s">
        <v>13</v>
      </c>
      <c r="B15" s="1" t="s">
        <v>14</v>
      </c>
      <c r="C15" s="1">
        <v>10</v>
      </c>
      <c r="D15">
        <v>0</v>
      </c>
      <c r="E15" t="s">
        <v>17</v>
      </c>
      <c r="F15" s="1">
        <v>10</v>
      </c>
    </row>
    <row r="16" spans="1:11">
      <c r="A16" s="1" t="s">
        <v>13</v>
      </c>
      <c r="B16" s="1" t="s">
        <v>15</v>
      </c>
      <c r="C16" s="1">
        <v>8</v>
      </c>
      <c r="D16">
        <v>0</v>
      </c>
      <c r="E16" t="s">
        <v>17</v>
      </c>
      <c r="F16" s="1">
        <v>16</v>
      </c>
    </row>
    <row r="17" spans="1:6">
      <c r="A17" s="1" t="s">
        <v>14</v>
      </c>
      <c r="B17" s="1" t="s">
        <v>16</v>
      </c>
      <c r="C17" s="1">
        <v>10</v>
      </c>
      <c r="D17">
        <v>10</v>
      </c>
      <c r="E17" t="s">
        <v>17</v>
      </c>
      <c r="F17" s="1">
        <v>17</v>
      </c>
    </row>
    <row r="18" spans="1:6">
      <c r="A18" s="1" t="s">
        <v>15</v>
      </c>
      <c r="B18" s="1" t="s">
        <v>14</v>
      </c>
      <c r="C18" s="1">
        <v>13</v>
      </c>
      <c r="D18">
        <v>0</v>
      </c>
      <c r="E18" t="s">
        <v>17</v>
      </c>
      <c r="F18" s="1">
        <v>6</v>
      </c>
    </row>
    <row r="19" spans="1:6">
      <c r="A19" s="1" t="s">
        <v>15</v>
      </c>
      <c r="B19" s="1" t="s">
        <v>16</v>
      </c>
      <c r="C19" s="1">
        <v>7</v>
      </c>
      <c r="D19">
        <v>5</v>
      </c>
      <c r="E19" t="s">
        <v>17</v>
      </c>
      <c r="F19" s="1">
        <v>11</v>
      </c>
    </row>
    <row r="20" spans="1:6">
      <c r="A20" s="1" t="s">
        <v>16</v>
      </c>
      <c r="B20" s="1" t="s">
        <v>13</v>
      </c>
      <c r="C20" s="1">
        <v>12</v>
      </c>
      <c r="D20">
        <v>0</v>
      </c>
      <c r="E20" t="s">
        <v>17</v>
      </c>
      <c r="F20" s="1">
        <v>18</v>
      </c>
    </row>
    <row r="23" spans="1:6">
      <c r="A23" t="s">
        <v>18</v>
      </c>
      <c r="B23">
        <f>SUMPRODUCT(D5:D20,C5:C20)</f>
        <v>210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CCC5-8D37-2047-8D06-0465696C3267}">
  <dimension ref="A1:J36"/>
  <sheetViews>
    <sheetView showGridLines="0" topLeftCell="A6" workbookViewId="0">
      <selection activeCell="J21" sqref="J21"/>
    </sheetView>
  </sheetViews>
  <sheetFormatPr baseColWidth="10" defaultRowHeight="18"/>
  <cols>
    <col min="1" max="1" width="2.28515625" customWidth="1"/>
    <col min="2" max="2" width="7" bestFit="1" customWidth="1"/>
    <col min="3" max="3" width="12.140625" bestFit="1" customWidth="1"/>
    <col min="4" max="5" width="5.140625" bestFit="1" customWidth="1"/>
    <col min="6" max="8" width="9.140625" bestFit="1" customWidth="1"/>
  </cols>
  <sheetData>
    <row r="1" spans="1:8">
      <c r="A1" s="2" t="s">
        <v>20</v>
      </c>
    </row>
    <row r="2" spans="1:8">
      <c r="A2" s="2" t="s">
        <v>21</v>
      </c>
    </row>
    <row r="3" spans="1:8">
      <c r="A3" s="2" t="s">
        <v>22</v>
      </c>
    </row>
    <row r="6" spans="1:8" ht="19" thickBot="1">
      <c r="A6" t="s">
        <v>23</v>
      </c>
    </row>
    <row r="7" spans="1:8">
      <c r="B7" s="5"/>
      <c r="C7" s="5"/>
      <c r="D7" s="5" t="s">
        <v>26</v>
      </c>
      <c r="E7" s="5" t="s">
        <v>28</v>
      </c>
      <c r="F7" s="5" t="s">
        <v>30</v>
      </c>
      <c r="G7" s="5" t="s">
        <v>32</v>
      </c>
      <c r="H7" s="5" t="s">
        <v>32</v>
      </c>
    </row>
    <row r="8" spans="1:8" ht="19" thickBot="1">
      <c r="B8" s="6" t="s">
        <v>24</v>
      </c>
      <c r="C8" s="6" t="s">
        <v>25</v>
      </c>
      <c r="D8" s="6" t="s">
        <v>27</v>
      </c>
      <c r="E8" s="6" t="s">
        <v>29</v>
      </c>
      <c r="F8" s="6" t="s">
        <v>31</v>
      </c>
      <c r="G8" s="6" t="s">
        <v>33</v>
      </c>
      <c r="H8" s="6" t="s">
        <v>34</v>
      </c>
    </row>
    <row r="9" spans="1:8">
      <c r="B9" s="3" t="s">
        <v>39</v>
      </c>
      <c r="C9" s="3" t="s">
        <v>40</v>
      </c>
      <c r="D9" s="3">
        <v>0</v>
      </c>
      <c r="E9" s="3">
        <v>21</v>
      </c>
      <c r="F9" s="3">
        <v>9</v>
      </c>
      <c r="G9" s="3">
        <v>1E+30</v>
      </c>
      <c r="H9" s="3">
        <v>21</v>
      </c>
    </row>
    <row r="10" spans="1:8">
      <c r="B10" s="3" t="s">
        <v>41</v>
      </c>
      <c r="C10" s="3" t="s">
        <v>42</v>
      </c>
      <c r="D10" s="3">
        <v>0</v>
      </c>
      <c r="E10" s="3">
        <v>13</v>
      </c>
      <c r="F10" s="3">
        <v>10</v>
      </c>
      <c r="G10" s="3">
        <v>1E+30</v>
      </c>
      <c r="H10" s="3">
        <v>13</v>
      </c>
    </row>
    <row r="11" spans="1:8">
      <c r="B11" s="3" t="s">
        <v>43</v>
      </c>
      <c r="C11" s="3" t="s">
        <v>42</v>
      </c>
      <c r="D11" s="3">
        <v>0</v>
      </c>
      <c r="E11" s="3">
        <v>16</v>
      </c>
      <c r="F11" s="3">
        <v>13</v>
      </c>
      <c r="G11" s="3">
        <v>1E+30</v>
      </c>
      <c r="H11" s="3">
        <v>16</v>
      </c>
    </row>
    <row r="12" spans="1:8">
      <c r="B12" s="3" t="s">
        <v>44</v>
      </c>
      <c r="C12" s="3" t="s">
        <v>45</v>
      </c>
      <c r="D12" s="3">
        <v>0</v>
      </c>
      <c r="E12" s="3">
        <v>0</v>
      </c>
      <c r="F12" s="3">
        <v>15</v>
      </c>
      <c r="G12" s="3">
        <v>0</v>
      </c>
      <c r="H12" s="3">
        <v>21</v>
      </c>
    </row>
    <row r="13" spans="1:8">
      <c r="B13" s="3" t="s">
        <v>46</v>
      </c>
      <c r="C13" s="3" t="s">
        <v>47</v>
      </c>
      <c r="D13" s="3">
        <v>0</v>
      </c>
      <c r="E13" s="3">
        <v>0</v>
      </c>
      <c r="F13" s="3">
        <v>12</v>
      </c>
      <c r="G13" s="3">
        <v>1E+30</v>
      </c>
      <c r="H13" s="3">
        <v>0</v>
      </c>
    </row>
    <row r="14" spans="1:8">
      <c r="B14" s="3" t="s">
        <v>48</v>
      </c>
      <c r="C14" s="3" t="s">
        <v>45</v>
      </c>
      <c r="D14" s="3">
        <v>0</v>
      </c>
      <c r="E14" s="3">
        <v>10</v>
      </c>
      <c r="F14" s="3">
        <v>13</v>
      </c>
      <c r="G14" s="3">
        <v>1E+30</v>
      </c>
      <c r="H14" s="3">
        <v>10</v>
      </c>
    </row>
    <row r="15" spans="1:8">
      <c r="B15" s="3" t="s">
        <v>49</v>
      </c>
      <c r="C15" s="3" t="s">
        <v>50</v>
      </c>
      <c r="D15" s="3">
        <v>0</v>
      </c>
      <c r="E15" s="3">
        <v>5</v>
      </c>
      <c r="F15" s="3">
        <v>12</v>
      </c>
      <c r="G15" s="3">
        <v>1E+30</v>
      </c>
      <c r="H15" s="3">
        <v>5</v>
      </c>
    </row>
    <row r="16" spans="1:8">
      <c r="B16" s="3" t="s">
        <v>51</v>
      </c>
      <c r="C16" s="3" t="s">
        <v>52</v>
      </c>
      <c r="D16" s="3">
        <v>0</v>
      </c>
      <c r="E16" s="3">
        <v>0</v>
      </c>
      <c r="F16" s="3">
        <v>3</v>
      </c>
      <c r="G16" s="3">
        <v>1E+30</v>
      </c>
      <c r="H16" s="3">
        <v>6</v>
      </c>
    </row>
    <row r="17" spans="1:10">
      <c r="B17" s="3" t="s">
        <v>53</v>
      </c>
      <c r="C17" s="3" t="s">
        <v>50</v>
      </c>
      <c r="D17" s="3">
        <v>0</v>
      </c>
      <c r="E17" s="3">
        <v>0</v>
      </c>
      <c r="F17" s="3">
        <v>7</v>
      </c>
      <c r="G17" s="3">
        <v>5</v>
      </c>
      <c r="H17" s="3">
        <v>1E+30</v>
      </c>
    </row>
    <row r="18" spans="1:10">
      <c r="B18" s="3" t="s">
        <v>54</v>
      </c>
      <c r="C18" s="3" t="s">
        <v>55</v>
      </c>
      <c r="D18" s="3">
        <v>15</v>
      </c>
      <c r="E18" s="3">
        <v>0</v>
      </c>
      <c r="F18" s="3">
        <v>5</v>
      </c>
      <c r="G18" s="3">
        <v>3</v>
      </c>
      <c r="H18" s="3">
        <v>1E+30</v>
      </c>
    </row>
    <row r="19" spans="1:10">
      <c r="B19" s="3" t="s">
        <v>56</v>
      </c>
      <c r="C19" s="3" t="s">
        <v>50</v>
      </c>
      <c r="D19" s="3">
        <v>0</v>
      </c>
      <c r="E19" s="3">
        <v>6</v>
      </c>
      <c r="F19" s="3">
        <v>10</v>
      </c>
      <c r="G19" s="3">
        <v>1E+30</v>
      </c>
      <c r="H19" s="3">
        <v>6</v>
      </c>
    </row>
    <row r="20" spans="1:10">
      <c r="B20" s="3" t="s">
        <v>57</v>
      </c>
      <c r="C20" s="3" t="s">
        <v>55</v>
      </c>
      <c r="D20" s="3">
        <v>0</v>
      </c>
      <c r="E20" s="3">
        <v>3</v>
      </c>
      <c r="F20" s="3">
        <v>8</v>
      </c>
      <c r="G20" s="3">
        <v>1E+30</v>
      </c>
      <c r="H20" s="3">
        <v>3</v>
      </c>
      <c r="J20" t="s">
        <v>79</v>
      </c>
    </row>
    <row r="21" spans="1:10">
      <c r="B21" s="3" t="s">
        <v>58</v>
      </c>
      <c r="C21" s="3" t="s">
        <v>59</v>
      </c>
      <c r="D21" s="3">
        <v>10</v>
      </c>
      <c r="E21" s="3">
        <v>0</v>
      </c>
      <c r="F21" s="3">
        <v>10</v>
      </c>
      <c r="G21" s="3">
        <v>10</v>
      </c>
      <c r="H21" s="3">
        <v>0</v>
      </c>
    </row>
    <row r="22" spans="1:10">
      <c r="B22" s="3" t="s">
        <v>60</v>
      </c>
      <c r="C22" s="3" t="s">
        <v>50</v>
      </c>
      <c r="D22" s="3">
        <v>0</v>
      </c>
      <c r="E22" s="3">
        <v>9</v>
      </c>
      <c r="F22" s="3">
        <v>13</v>
      </c>
      <c r="G22" s="3">
        <v>1E+30</v>
      </c>
      <c r="H22" s="3">
        <v>9</v>
      </c>
    </row>
    <row r="23" spans="1:10">
      <c r="B23" s="3" t="s">
        <v>61</v>
      </c>
      <c r="C23" s="3" t="s">
        <v>59</v>
      </c>
      <c r="D23" s="3">
        <v>5</v>
      </c>
      <c r="E23" s="3">
        <v>0</v>
      </c>
      <c r="F23" s="3">
        <v>7</v>
      </c>
      <c r="G23" s="3">
        <v>0</v>
      </c>
      <c r="H23" s="3">
        <v>10</v>
      </c>
    </row>
    <row r="24" spans="1:10" ht="19" thickBot="1">
      <c r="B24" s="4" t="s">
        <v>62</v>
      </c>
      <c r="C24" s="4" t="s">
        <v>45</v>
      </c>
      <c r="D24" s="4">
        <v>0</v>
      </c>
      <c r="E24" s="4">
        <v>12</v>
      </c>
      <c r="F24" s="4">
        <v>12</v>
      </c>
      <c r="G24" s="4">
        <v>1E+30</v>
      </c>
      <c r="H24" s="4">
        <v>12</v>
      </c>
    </row>
    <row r="26" spans="1:10" ht="19" thickBot="1">
      <c r="A26" t="s">
        <v>35</v>
      </c>
    </row>
    <row r="27" spans="1:10">
      <c r="B27" s="5"/>
      <c r="C27" s="5"/>
      <c r="D27" s="5" t="s">
        <v>26</v>
      </c>
      <c r="E27" s="5" t="s">
        <v>36</v>
      </c>
      <c r="F27" s="5" t="s">
        <v>35</v>
      </c>
      <c r="G27" s="5" t="s">
        <v>32</v>
      </c>
      <c r="H27" s="5" t="s">
        <v>32</v>
      </c>
    </row>
    <row r="28" spans="1:10" ht="19" thickBot="1">
      <c r="B28" s="6" t="s">
        <v>24</v>
      </c>
      <c r="C28" s="6" t="s">
        <v>25</v>
      </c>
      <c r="D28" s="6" t="s">
        <v>27</v>
      </c>
      <c r="E28" s="6" t="s">
        <v>37</v>
      </c>
      <c r="F28" s="6" t="s">
        <v>38</v>
      </c>
      <c r="G28" s="6" t="s">
        <v>33</v>
      </c>
      <c r="H28" s="6" t="s">
        <v>34</v>
      </c>
    </row>
    <row r="29" spans="1:10">
      <c r="B29" s="3" t="s">
        <v>63</v>
      </c>
      <c r="C29" s="3" t="s">
        <v>64</v>
      </c>
      <c r="D29" s="3">
        <v>0</v>
      </c>
      <c r="E29" s="3">
        <v>-4</v>
      </c>
      <c r="F29" s="3">
        <v>0</v>
      </c>
      <c r="G29" s="3">
        <v>0</v>
      </c>
      <c r="H29" s="3">
        <v>0</v>
      </c>
    </row>
    <row r="30" spans="1:10">
      <c r="B30" s="3" t="s">
        <v>65</v>
      </c>
      <c r="C30" s="3" t="s">
        <v>66</v>
      </c>
      <c r="D30" s="3">
        <v>-15</v>
      </c>
      <c r="E30" s="3">
        <v>-5</v>
      </c>
      <c r="F30" s="3">
        <v>-15</v>
      </c>
      <c r="G30" s="3">
        <v>15</v>
      </c>
      <c r="H30" s="3">
        <v>1</v>
      </c>
    </row>
    <row r="31" spans="1:10">
      <c r="B31" s="3" t="s">
        <v>67</v>
      </c>
      <c r="C31" s="3" t="s">
        <v>68</v>
      </c>
      <c r="D31" s="3">
        <v>-15</v>
      </c>
      <c r="E31" s="3">
        <v>-10</v>
      </c>
      <c r="F31" s="3">
        <v>-15</v>
      </c>
      <c r="G31" s="3">
        <v>10</v>
      </c>
      <c r="H31" s="3">
        <v>0</v>
      </c>
    </row>
    <row r="32" spans="1:10">
      <c r="B32" s="3" t="s">
        <v>69</v>
      </c>
      <c r="C32" s="3" t="s">
        <v>70</v>
      </c>
      <c r="D32" s="3">
        <v>0</v>
      </c>
      <c r="E32" s="3">
        <v>0</v>
      </c>
      <c r="F32" s="3">
        <v>20</v>
      </c>
      <c r="G32" s="3">
        <v>1E+30</v>
      </c>
      <c r="H32" s="3">
        <v>20</v>
      </c>
    </row>
    <row r="33" spans="2:8">
      <c r="B33" s="3" t="s">
        <v>71</v>
      </c>
      <c r="C33" s="3" t="s">
        <v>72</v>
      </c>
      <c r="D33" s="3">
        <v>0</v>
      </c>
      <c r="E33" s="3">
        <v>12</v>
      </c>
      <c r="F33" s="3">
        <v>0</v>
      </c>
      <c r="G33" s="3">
        <v>6</v>
      </c>
      <c r="H33" s="3">
        <v>0</v>
      </c>
    </row>
    <row r="34" spans="2:8">
      <c r="B34" s="3" t="s">
        <v>73</v>
      </c>
      <c r="C34" s="3" t="s">
        <v>74</v>
      </c>
      <c r="D34" s="3">
        <v>0</v>
      </c>
      <c r="E34" s="3">
        <v>3</v>
      </c>
      <c r="F34" s="3">
        <v>0</v>
      </c>
      <c r="G34" s="3">
        <v>12</v>
      </c>
      <c r="H34" s="3">
        <v>0</v>
      </c>
    </row>
    <row r="35" spans="2:8">
      <c r="B35" s="3" t="s">
        <v>75</v>
      </c>
      <c r="C35" s="3" t="s">
        <v>76</v>
      </c>
      <c r="D35" s="3">
        <v>10</v>
      </c>
      <c r="E35" s="3">
        <v>0</v>
      </c>
      <c r="F35" s="3">
        <v>10</v>
      </c>
      <c r="G35" s="3">
        <v>1E+30</v>
      </c>
      <c r="H35" s="3">
        <v>0</v>
      </c>
    </row>
    <row r="36" spans="2:8" ht="19" thickBot="1">
      <c r="B36" s="4" t="s">
        <v>77</v>
      </c>
      <c r="C36" s="4" t="s">
        <v>78</v>
      </c>
      <c r="D36" s="4">
        <v>5</v>
      </c>
      <c r="E36" s="4">
        <v>-3</v>
      </c>
      <c r="F36" s="4">
        <v>5</v>
      </c>
      <c r="G36" s="4">
        <v>6</v>
      </c>
      <c r="H36" s="4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D929-B542-6D43-A467-D398E6BC8D9E}">
  <dimension ref="A1:J23"/>
  <sheetViews>
    <sheetView workbookViewId="0">
      <selection activeCell="B23" sqref="B23"/>
    </sheetView>
  </sheetViews>
  <sheetFormatPr baseColWidth="10" defaultRowHeight="18"/>
  <sheetData>
    <row r="1" spans="1:10">
      <c r="A1" t="s">
        <v>80</v>
      </c>
    </row>
    <row r="4" spans="1:10">
      <c r="A4" t="s">
        <v>1</v>
      </c>
      <c r="B4" t="s">
        <v>2</v>
      </c>
      <c r="C4" t="s">
        <v>4</v>
      </c>
      <c r="E4" t="s">
        <v>5</v>
      </c>
      <c r="G4" t="s">
        <v>6</v>
      </c>
      <c r="H4" t="s">
        <v>7</v>
      </c>
      <c r="J4" t="s">
        <v>8</v>
      </c>
    </row>
    <row r="5" spans="1:10">
      <c r="A5" s="1" t="s">
        <v>9</v>
      </c>
      <c r="B5" s="1" t="s">
        <v>10</v>
      </c>
      <c r="C5">
        <v>12</v>
      </c>
      <c r="D5" t="s">
        <v>17</v>
      </c>
      <c r="E5" s="1">
        <v>12</v>
      </c>
      <c r="G5" t="s">
        <v>9</v>
      </c>
      <c r="H5">
        <f>SUMIF($A$5:$A$20,G5,$C5:$C$20)-SUMIF($B$5:$B$20,G5,$C$5:$C$20)</f>
        <v>22</v>
      </c>
      <c r="J5" s="1"/>
    </row>
    <row r="6" spans="1:10">
      <c r="A6" s="1" t="s">
        <v>9</v>
      </c>
      <c r="B6" s="1" t="s">
        <v>11</v>
      </c>
      <c r="C6">
        <v>10</v>
      </c>
      <c r="D6" t="s">
        <v>17</v>
      </c>
      <c r="E6" s="1">
        <v>10</v>
      </c>
      <c r="G6" t="s">
        <v>10</v>
      </c>
      <c r="H6">
        <f ca="1">SUMIF($A$5:$A$20,G6,$C6:$C$20)-SUMIF($B$5:$B$20,G6,$C$5:$C$20)</f>
        <v>-12</v>
      </c>
      <c r="I6" t="s">
        <v>19</v>
      </c>
      <c r="J6" s="1">
        <v>0</v>
      </c>
    </row>
    <row r="7" spans="1:10">
      <c r="A7" s="1" t="s">
        <v>10</v>
      </c>
      <c r="B7" s="1" t="s">
        <v>11</v>
      </c>
      <c r="C7">
        <v>0</v>
      </c>
      <c r="D7" t="s">
        <v>17</v>
      </c>
      <c r="E7" s="1">
        <v>15</v>
      </c>
      <c r="G7" t="s">
        <v>11</v>
      </c>
      <c r="H7">
        <v>0</v>
      </c>
      <c r="I7" t="s">
        <v>19</v>
      </c>
      <c r="J7" s="1">
        <v>0</v>
      </c>
    </row>
    <row r="8" spans="1:10">
      <c r="A8" s="1" t="s">
        <v>10</v>
      </c>
      <c r="B8" s="1" t="s">
        <v>13</v>
      </c>
      <c r="C8">
        <v>0</v>
      </c>
      <c r="D8" t="s">
        <v>17</v>
      </c>
      <c r="E8" s="1">
        <v>11</v>
      </c>
      <c r="G8" t="s">
        <v>12</v>
      </c>
      <c r="H8">
        <v>0</v>
      </c>
      <c r="I8" t="s">
        <v>19</v>
      </c>
      <c r="J8" s="1">
        <v>0</v>
      </c>
    </row>
    <row r="9" spans="1:10">
      <c r="A9" s="1" t="s">
        <v>11</v>
      </c>
      <c r="B9" s="1" t="s">
        <v>12</v>
      </c>
      <c r="C9">
        <v>0</v>
      </c>
      <c r="D9" t="s">
        <v>17</v>
      </c>
      <c r="E9" s="1">
        <v>10</v>
      </c>
      <c r="G9" t="s">
        <v>13</v>
      </c>
      <c r="H9">
        <v>0</v>
      </c>
      <c r="I9" t="s">
        <v>19</v>
      </c>
      <c r="J9" s="1">
        <v>0</v>
      </c>
    </row>
    <row r="10" spans="1:10">
      <c r="A10" s="1" t="s">
        <v>11</v>
      </c>
      <c r="B10" s="1" t="s">
        <v>13</v>
      </c>
      <c r="C10">
        <v>0</v>
      </c>
      <c r="D10" t="s">
        <v>17</v>
      </c>
      <c r="E10" s="1">
        <v>13</v>
      </c>
      <c r="G10" t="s">
        <v>14</v>
      </c>
      <c r="H10">
        <v>0</v>
      </c>
      <c r="I10" t="s">
        <v>19</v>
      </c>
      <c r="J10" s="1">
        <v>0</v>
      </c>
    </row>
    <row r="11" spans="1:10">
      <c r="A11" s="1" t="s">
        <v>11</v>
      </c>
      <c r="B11" s="1" t="s">
        <v>14</v>
      </c>
      <c r="C11">
        <v>0</v>
      </c>
      <c r="D11" t="s">
        <v>17</v>
      </c>
      <c r="E11" s="1">
        <v>11</v>
      </c>
      <c r="G11" t="s">
        <v>15</v>
      </c>
      <c r="H11">
        <v>0</v>
      </c>
      <c r="I11" t="s">
        <v>19</v>
      </c>
      <c r="J11" s="1">
        <v>0</v>
      </c>
    </row>
    <row r="12" spans="1:10">
      <c r="A12" s="1" t="s">
        <v>12</v>
      </c>
      <c r="B12" s="1" t="s">
        <v>9</v>
      </c>
      <c r="C12">
        <v>0</v>
      </c>
      <c r="D12" t="s">
        <v>17</v>
      </c>
      <c r="E12" s="1">
        <v>12</v>
      </c>
      <c r="G12" t="s">
        <v>16</v>
      </c>
      <c r="H12">
        <f ca="1">SUMIF($A$5:$A$20,G12,$C12:$C$20)-SUMIF($B$5:$B$20,G12,$C$5:$C$20)</f>
        <v>0</v>
      </c>
      <c r="J12" s="1"/>
    </row>
    <row r="13" spans="1:10">
      <c r="A13" s="1" t="s">
        <v>12</v>
      </c>
      <c r="B13" s="1" t="s">
        <v>14</v>
      </c>
      <c r="C13">
        <v>0</v>
      </c>
      <c r="D13" t="s">
        <v>17</v>
      </c>
      <c r="E13" s="1">
        <v>6</v>
      </c>
    </row>
    <row r="14" spans="1:10">
      <c r="A14" s="1" t="s">
        <v>12</v>
      </c>
      <c r="B14" s="1" t="s">
        <v>15</v>
      </c>
      <c r="C14">
        <v>0</v>
      </c>
      <c r="D14" t="s">
        <v>17</v>
      </c>
      <c r="E14" s="1">
        <v>16</v>
      </c>
    </row>
    <row r="15" spans="1:10">
      <c r="A15" s="1" t="s">
        <v>13</v>
      </c>
      <c r="B15" s="1" t="s">
        <v>14</v>
      </c>
      <c r="C15">
        <v>0</v>
      </c>
      <c r="D15" t="s">
        <v>17</v>
      </c>
      <c r="E15" s="1">
        <v>10</v>
      </c>
    </row>
    <row r="16" spans="1:10">
      <c r="A16" s="1" t="s">
        <v>13</v>
      </c>
      <c r="B16" s="1" t="s">
        <v>15</v>
      </c>
      <c r="C16">
        <v>0</v>
      </c>
      <c r="D16" t="s">
        <v>17</v>
      </c>
      <c r="E16" s="1">
        <v>16</v>
      </c>
    </row>
    <row r="17" spans="1:5">
      <c r="A17" s="1" t="s">
        <v>14</v>
      </c>
      <c r="B17" s="1" t="s">
        <v>16</v>
      </c>
      <c r="C17">
        <v>0</v>
      </c>
      <c r="D17" t="s">
        <v>17</v>
      </c>
      <c r="E17" s="1">
        <v>17</v>
      </c>
    </row>
    <row r="18" spans="1:5">
      <c r="A18" s="1" t="s">
        <v>15</v>
      </c>
      <c r="B18" s="1" t="s">
        <v>14</v>
      </c>
      <c r="C18">
        <v>0</v>
      </c>
      <c r="D18" t="s">
        <v>17</v>
      </c>
      <c r="E18" s="1">
        <v>6</v>
      </c>
    </row>
    <row r="19" spans="1:5">
      <c r="A19" s="1" t="s">
        <v>15</v>
      </c>
      <c r="B19" s="1" t="s">
        <v>16</v>
      </c>
      <c r="C19">
        <v>0</v>
      </c>
      <c r="D19" t="s">
        <v>17</v>
      </c>
      <c r="E19" s="1">
        <v>11</v>
      </c>
    </row>
    <row r="20" spans="1:5">
      <c r="A20" s="1" t="s">
        <v>16</v>
      </c>
      <c r="B20" s="1" t="s">
        <v>13</v>
      </c>
      <c r="C20">
        <v>0</v>
      </c>
      <c r="D20" t="s">
        <v>17</v>
      </c>
      <c r="E20" s="1">
        <v>18</v>
      </c>
    </row>
    <row r="23" spans="1:5">
      <c r="A23" t="s">
        <v>18</v>
      </c>
      <c r="B23">
        <f>H5</f>
        <v>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E1C8-9E6F-144B-B71B-0BB93EB3CEF9}">
  <dimension ref="A1:I23"/>
  <sheetViews>
    <sheetView tabSelected="1" workbookViewId="0">
      <selection activeCell="B23" sqref="B23"/>
    </sheetView>
  </sheetViews>
  <sheetFormatPr baseColWidth="10" defaultRowHeight="18"/>
  <sheetData>
    <row r="1" spans="1:9">
      <c r="A1" t="s">
        <v>81</v>
      </c>
    </row>
    <row r="4" spans="1:9">
      <c r="A4" t="s">
        <v>1</v>
      </c>
      <c r="B4" t="s">
        <v>2</v>
      </c>
      <c r="C4" t="s">
        <v>3</v>
      </c>
      <c r="D4" t="s">
        <v>4</v>
      </c>
      <c r="F4" t="s">
        <v>6</v>
      </c>
      <c r="G4" t="s">
        <v>7</v>
      </c>
      <c r="I4" t="s">
        <v>8</v>
      </c>
    </row>
    <row r="5" spans="1:9">
      <c r="A5" s="1" t="s">
        <v>9</v>
      </c>
      <c r="B5" s="1" t="s">
        <v>10</v>
      </c>
      <c r="C5" s="1">
        <v>9</v>
      </c>
      <c r="D5">
        <v>0</v>
      </c>
      <c r="F5" t="s">
        <v>9</v>
      </c>
      <c r="G5">
        <f>SUMIF($A$5:$A$20,F5,$D$5:$D$20)-SUMIF($B$5:$B$20,F5,$D$5:$D$20)</f>
        <v>0</v>
      </c>
      <c r="H5" t="s">
        <v>19</v>
      </c>
      <c r="I5" s="1">
        <v>1</v>
      </c>
    </row>
    <row r="6" spans="1:9">
      <c r="A6" s="1" t="s">
        <v>9</v>
      </c>
      <c r="B6" s="1" t="s">
        <v>11</v>
      </c>
      <c r="C6" s="1">
        <v>10</v>
      </c>
      <c r="D6">
        <v>0</v>
      </c>
      <c r="F6" t="s">
        <v>10</v>
      </c>
      <c r="G6">
        <f t="shared" ref="G6:G12" si="0">SUMIF($A$5:$A$20,F6,$D$5:$D$20)-SUMIF($B$5:$B$20,F6,$D$5:$D$20)</f>
        <v>0</v>
      </c>
      <c r="H6" t="s">
        <v>19</v>
      </c>
      <c r="I6" s="1">
        <v>0</v>
      </c>
    </row>
    <row r="7" spans="1:9">
      <c r="A7" s="1" t="s">
        <v>10</v>
      </c>
      <c r="B7" s="1" t="s">
        <v>11</v>
      </c>
      <c r="C7" s="1">
        <v>13</v>
      </c>
      <c r="D7">
        <v>0</v>
      </c>
      <c r="F7" t="s">
        <v>11</v>
      </c>
      <c r="G7">
        <f t="shared" si="0"/>
        <v>0</v>
      </c>
      <c r="H7" t="s">
        <v>19</v>
      </c>
      <c r="I7" s="1">
        <v>0</v>
      </c>
    </row>
    <row r="8" spans="1:9">
      <c r="A8" s="1" t="s">
        <v>10</v>
      </c>
      <c r="B8" s="1" t="s">
        <v>13</v>
      </c>
      <c r="C8" s="1">
        <v>15</v>
      </c>
      <c r="D8">
        <v>0</v>
      </c>
      <c r="F8" t="s">
        <v>12</v>
      </c>
      <c r="G8">
        <f t="shared" si="0"/>
        <v>0</v>
      </c>
      <c r="H8" t="s">
        <v>19</v>
      </c>
      <c r="I8" s="1">
        <v>0</v>
      </c>
    </row>
    <row r="9" spans="1:9">
      <c r="A9" s="1" t="s">
        <v>11</v>
      </c>
      <c r="B9" s="1" t="s">
        <v>12</v>
      </c>
      <c r="C9" s="1">
        <v>12</v>
      </c>
      <c r="D9">
        <v>0</v>
      </c>
      <c r="F9" t="s">
        <v>13</v>
      </c>
      <c r="G9">
        <f t="shared" si="0"/>
        <v>0</v>
      </c>
      <c r="H9" t="s">
        <v>19</v>
      </c>
      <c r="I9" s="1">
        <v>0</v>
      </c>
    </row>
    <row r="10" spans="1:9">
      <c r="A10" s="1" t="s">
        <v>11</v>
      </c>
      <c r="B10" s="1" t="s">
        <v>13</v>
      </c>
      <c r="C10" s="1">
        <v>13</v>
      </c>
      <c r="D10">
        <v>0</v>
      </c>
      <c r="F10" t="s">
        <v>14</v>
      </c>
      <c r="G10">
        <f t="shared" si="0"/>
        <v>0</v>
      </c>
      <c r="H10" t="s">
        <v>19</v>
      </c>
      <c r="I10" s="1">
        <v>0</v>
      </c>
    </row>
    <row r="11" spans="1:9">
      <c r="A11" s="1" t="s">
        <v>11</v>
      </c>
      <c r="B11" s="1" t="s">
        <v>14</v>
      </c>
      <c r="C11" s="1">
        <v>12</v>
      </c>
      <c r="D11">
        <v>0</v>
      </c>
      <c r="F11" t="s">
        <v>15</v>
      </c>
      <c r="G11">
        <f t="shared" si="0"/>
        <v>0</v>
      </c>
      <c r="H11" t="s">
        <v>19</v>
      </c>
      <c r="I11" s="1">
        <v>0</v>
      </c>
    </row>
    <row r="12" spans="1:9">
      <c r="A12" s="1" t="s">
        <v>12</v>
      </c>
      <c r="B12" s="1" t="s">
        <v>9</v>
      </c>
      <c r="C12" s="1">
        <v>3</v>
      </c>
      <c r="D12">
        <v>0</v>
      </c>
      <c r="F12" t="s">
        <v>16</v>
      </c>
      <c r="G12">
        <f t="shared" si="0"/>
        <v>0</v>
      </c>
      <c r="H12" t="s">
        <v>19</v>
      </c>
      <c r="I12" s="1">
        <v>-1</v>
      </c>
    </row>
    <row r="13" spans="1:9">
      <c r="A13" s="1" t="s">
        <v>12</v>
      </c>
      <c r="B13" s="1" t="s">
        <v>14</v>
      </c>
      <c r="C13" s="1">
        <v>7</v>
      </c>
      <c r="D13">
        <v>0</v>
      </c>
    </row>
    <row r="14" spans="1:9">
      <c r="A14" s="1" t="s">
        <v>12</v>
      </c>
      <c r="B14" s="1" t="s">
        <v>15</v>
      </c>
      <c r="C14" s="1">
        <v>5</v>
      </c>
      <c r="D14">
        <v>0</v>
      </c>
    </row>
    <row r="15" spans="1:9">
      <c r="A15" s="1" t="s">
        <v>13</v>
      </c>
      <c r="B15" s="1" t="s">
        <v>14</v>
      </c>
      <c r="C15" s="1">
        <v>10</v>
      </c>
      <c r="D15">
        <v>0</v>
      </c>
    </row>
    <row r="16" spans="1:9">
      <c r="A16" s="1" t="s">
        <v>13</v>
      </c>
      <c r="B16" s="1" t="s">
        <v>15</v>
      </c>
      <c r="C16" s="1">
        <v>8</v>
      </c>
      <c r="D16">
        <v>0</v>
      </c>
    </row>
    <row r="17" spans="1:4">
      <c r="A17" s="1" t="s">
        <v>14</v>
      </c>
      <c r="B17" s="1" t="s">
        <v>16</v>
      </c>
      <c r="C17" s="1">
        <v>10</v>
      </c>
      <c r="D17">
        <v>0</v>
      </c>
    </row>
    <row r="18" spans="1:4">
      <c r="A18" s="1" t="s">
        <v>15</v>
      </c>
      <c r="B18" s="1" t="s">
        <v>14</v>
      </c>
      <c r="C18" s="1">
        <v>13</v>
      </c>
      <c r="D18">
        <v>0</v>
      </c>
    </row>
    <row r="19" spans="1:4">
      <c r="A19" s="1" t="s">
        <v>15</v>
      </c>
      <c r="B19" s="1" t="s">
        <v>16</v>
      </c>
      <c r="C19" s="1">
        <v>7</v>
      </c>
      <c r="D19">
        <v>0</v>
      </c>
    </row>
    <row r="20" spans="1:4">
      <c r="A20" s="1" t="s">
        <v>16</v>
      </c>
      <c r="B20" s="1" t="s">
        <v>13</v>
      </c>
      <c r="C20" s="1">
        <v>12</v>
      </c>
      <c r="D20">
        <v>0</v>
      </c>
    </row>
    <row r="23" spans="1:4">
      <c r="A23" t="s">
        <v>82</v>
      </c>
      <c r="B23">
        <f>SUMPRODUCT(D5:D20,C5:C20)</f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8561-B7F9-F048-A465-78ECDE660367}">
  <dimension ref="A1:I23"/>
  <sheetViews>
    <sheetView workbookViewId="0">
      <selection activeCell="G6" sqref="G6"/>
    </sheetView>
  </sheetViews>
  <sheetFormatPr baseColWidth="10" defaultRowHeight="18"/>
  <sheetData>
    <row r="1" spans="1:9">
      <c r="A1" t="s">
        <v>81</v>
      </c>
    </row>
    <row r="4" spans="1:9">
      <c r="A4" t="s">
        <v>1</v>
      </c>
      <c r="B4" t="s">
        <v>2</v>
      </c>
      <c r="C4" t="s">
        <v>3</v>
      </c>
      <c r="D4" t="s">
        <v>4</v>
      </c>
      <c r="F4" t="s">
        <v>6</v>
      </c>
      <c r="G4" t="s">
        <v>7</v>
      </c>
      <c r="I4" t="s">
        <v>8</v>
      </c>
    </row>
    <row r="5" spans="1:9">
      <c r="A5" s="1" t="s">
        <v>9</v>
      </c>
      <c r="B5" s="1" t="s">
        <v>10</v>
      </c>
      <c r="C5" s="1">
        <v>9</v>
      </c>
      <c r="D5">
        <v>0</v>
      </c>
      <c r="F5" t="s">
        <v>9</v>
      </c>
      <c r="G5">
        <v>1</v>
      </c>
      <c r="H5" t="s">
        <v>19</v>
      </c>
      <c r="I5" s="1">
        <v>1</v>
      </c>
    </row>
    <row r="6" spans="1:9">
      <c r="A6" s="1" t="s">
        <v>9</v>
      </c>
      <c r="B6" s="1" t="s">
        <v>11</v>
      </c>
      <c r="C6" s="1">
        <v>10</v>
      </c>
      <c r="D6">
        <v>0</v>
      </c>
      <c r="F6" t="s">
        <v>10</v>
      </c>
      <c r="G6">
        <v>0</v>
      </c>
      <c r="H6" t="s">
        <v>19</v>
      </c>
      <c r="I6" s="1">
        <v>0</v>
      </c>
    </row>
    <row r="7" spans="1:9">
      <c r="A7" s="1" t="s">
        <v>10</v>
      </c>
      <c r="B7" s="1" t="s">
        <v>11</v>
      </c>
      <c r="C7" s="1">
        <v>13</v>
      </c>
      <c r="D7">
        <v>0</v>
      </c>
      <c r="F7" t="s">
        <v>11</v>
      </c>
      <c r="G7">
        <v>0</v>
      </c>
      <c r="H7" t="s">
        <v>19</v>
      </c>
      <c r="I7" s="1">
        <v>0</v>
      </c>
    </row>
    <row r="8" spans="1:9">
      <c r="A8" s="1" t="s">
        <v>10</v>
      </c>
      <c r="B8" s="1" t="s">
        <v>13</v>
      </c>
      <c r="C8" s="1">
        <v>15</v>
      </c>
      <c r="D8">
        <v>0</v>
      </c>
      <c r="F8" t="s">
        <v>12</v>
      </c>
      <c r="G8">
        <v>0</v>
      </c>
      <c r="H8" t="s">
        <v>19</v>
      </c>
      <c r="I8" s="1">
        <v>0</v>
      </c>
    </row>
    <row r="9" spans="1:9">
      <c r="A9" s="1" t="s">
        <v>11</v>
      </c>
      <c r="B9" s="1" t="s">
        <v>12</v>
      </c>
      <c r="C9" s="1">
        <v>12</v>
      </c>
      <c r="D9">
        <v>0</v>
      </c>
      <c r="F9" t="s">
        <v>13</v>
      </c>
      <c r="G9">
        <v>0</v>
      </c>
      <c r="H9" t="s">
        <v>19</v>
      </c>
      <c r="I9" s="1">
        <v>0</v>
      </c>
    </row>
    <row r="10" spans="1:9">
      <c r="A10" s="1" t="s">
        <v>11</v>
      </c>
      <c r="B10" s="1" t="s">
        <v>13</v>
      </c>
      <c r="C10" s="1">
        <v>13</v>
      </c>
      <c r="D10">
        <v>0</v>
      </c>
      <c r="F10" t="s">
        <v>14</v>
      </c>
      <c r="G10">
        <v>0</v>
      </c>
      <c r="H10" t="s">
        <v>19</v>
      </c>
      <c r="I10" s="1">
        <v>0</v>
      </c>
    </row>
    <row r="11" spans="1:9">
      <c r="A11" s="1" t="s">
        <v>11</v>
      </c>
      <c r="B11" s="1" t="s">
        <v>14</v>
      </c>
      <c r="C11" s="1">
        <v>12</v>
      </c>
      <c r="D11">
        <v>0</v>
      </c>
      <c r="F11" t="s">
        <v>15</v>
      </c>
      <c r="G11">
        <v>0</v>
      </c>
      <c r="H11" t="s">
        <v>19</v>
      </c>
      <c r="I11" s="1">
        <v>0</v>
      </c>
    </row>
    <row r="12" spans="1:9">
      <c r="A12" s="1" t="s">
        <v>12</v>
      </c>
      <c r="B12" s="1" t="s">
        <v>9</v>
      </c>
      <c r="C12" s="1">
        <v>3</v>
      </c>
      <c r="D12">
        <v>0</v>
      </c>
      <c r="F12" t="s">
        <v>16</v>
      </c>
      <c r="G12">
        <v>-1</v>
      </c>
      <c r="H12" t="s">
        <v>19</v>
      </c>
      <c r="I12" s="1">
        <v>-1</v>
      </c>
    </row>
    <row r="13" spans="1:9">
      <c r="A13" s="1" t="s">
        <v>12</v>
      </c>
      <c r="B13" s="1" t="s">
        <v>14</v>
      </c>
      <c r="C13" s="1">
        <v>7</v>
      </c>
      <c r="D13">
        <v>0</v>
      </c>
    </row>
    <row r="14" spans="1:9">
      <c r="A14" s="1" t="s">
        <v>12</v>
      </c>
      <c r="B14" s="1" t="s">
        <v>15</v>
      </c>
      <c r="C14" s="1">
        <v>5</v>
      </c>
      <c r="D14">
        <v>0</v>
      </c>
    </row>
    <row r="15" spans="1:9">
      <c r="A15" s="1" t="s">
        <v>13</v>
      </c>
      <c r="B15" s="1" t="s">
        <v>14</v>
      </c>
      <c r="C15" s="1">
        <v>10</v>
      </c>
      <c r="D15">
        <v>0</v>
      </c>
    </row>
    <row r="16" spans="1:9">
      <c r="A16" s="1" t="s">
        <v>13</v>
      </c>
      <c r="B16" s="1" t="s">
        <v>15</v>
      </c>
      <c r="C16" s="1">
        <v>8</v>
      </c>
      <c r="D16">
        <v>0</v>
      </c>
    </row>
    <row r="17" spans="1:4">
      <c r="A17" s="1" t="s">
        <v>14</v>
      </c>
      <c r="B17" s="1" t="s">
        <v>16</v>
      </c>
      <c r="C17" s="1">
        <v>10</v>
      </c>
      <c r="D17">
        <v>0</v>
      </c>
    </row>
    <row r="18" spans="1:4">
      <c r="A18" s="1" t="s">
        <v>15</v>
      </c>
      <c r="B18" s="1" t="s">
        <v>14</v>
      </c>
      <c r="C18" s="1">
        <v>13</v>
      </c>
      <c r="D18">
        <v>0</v>
      </c>
    </row>
    <row r="19" spans="1:4">
      <c r="A19" s="1" t="s">
        <v>15</v>
      </c>
      <c r="B19" s="1" t="s">
        <v>16</v>
      </c>
      <c r="C19" s="1">
        <v>7</v>
      </c>
      <c r="D19">
        <v>0</v>
      </c>
    </row>
    <row r="20" spans="1:4">
      <c r="A20" s="1" t="s">
        <v>16</v>
      </c>
      <c r="B20" s="1" t="s">
        <v>13</v>
      </c>
      <c r="C20" s="1">
        <v>12</v>
      </c>
      <c r="D20">
        <v>0</v>
      </c>
    </row>
    <row r="23" spans="1:4">
      <c r="A23" t="s">
        <v>82</v>
      </c>
      <c r="B23">
        <f>SUMPRODUCT(D5:D20,C5:C20)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최소비용 흐름문제</vt:lpstr>
      <vt:lpstr>민감도 보고서 1</vt:lpstr>
      <vt:lpstr>최대흐름문제</vt:lpstr>
      <vt:lpstr>최단경로문제</vt:lpstr>
      <vt:lpstr>최단경로문제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진우</dc:creator>
  <cp:lastModifiedBy>장 진우</cp:lastModifiedBy>
  <dcterms:created xsi:type="dcterms:W3CDTF">2020-06-02T00:32:05Z</dcterms:created>
  <dcterms:modified xsi:type="dcterms:W3CDTF">2020-06-03T07:01:55Z</dcterms:modified>
</cp:coreProperties>
</file>