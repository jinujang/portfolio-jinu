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내 드라이브/4.Business/1.1 대학생활/3학년 1학기/2) 경영과학2/"/>
    </mc:Choice>
  </mc:AlternateContent>
  <xr:revisionPtr revIDLastSave="0" documentId="8_{DAA78CA9-F464-104E-95AC-D11A13AD0280}" xr6:coauthVersionLast="46" xr6:coauthVersionMax="46" xr10:uidLastSave="{00000000-0000-0000-0000-000000000000}"/>
  <bookViews>
    <workbookView xWindow="5040" yWindow="1800" windowWidth="28300" windowHeight="17440" activeTab="2" xr2:uid="{5202A7AC-1F49-F442-891F-D946EAACFF14}"/>
  </bookViews>
  <sheets>
    <sheet name="해답 보고서 1" sheetId="2" r:id="rId1"/>
    <sheet name="모집단 보고서 1" sheetId="3" r:id="rId2"/>
    <sheet name="Sheet1" sheetId="1" r:id="rId3"/>
  </sheets>
  <definedNames>
    <definedName name="가동변수">Sheet1!$F$17:$L$19</definedName>
    <definedName name="solver_adj" localSheetId="2" hidden="1">Sheet1!$F$17:$L$19</definedName>
    <definedName name="solver_cvg" localSheetId="2" hidden="1">0.0001</definedName>
    <definedName name="solver_drv" localSheetId="2" hidden="1">1</definedName>
    <definedName name="solver_eng" localSheetId="2" hidden="1">3</definedName>
    <definedName name="solver_itr" localSheetId="2" hidden="1">10000</definedName>
    <definedName name="solver_lhs1" localSheetId="2" hidden="1">Sheet1!$F$11:$L$11</definedName>
    <definedName name="solver_lhs2" localSheetId="2" hidden="1">Sheet1!$F$12:$L$12</definedName>
    <definedName name="solver_lhs3" localSheetId="2" hidden="1">Sheet1!$F$13:$L$13</definedName>
    <definedName name="solver_lhs4" localSheetId="2" hidden="1">Sheet1!$F$17:$L$19</definedName>
    <definedName name="solver_lin" localSheetId="2" hidden="1">2</definedName>
    <definedName name="solver_mip" localSheetId="2" hidden="1">100000</definedName>
    <definedName name="solver_mni" localSheetId="2" hidden="1">30</definedName>
    <definedName name="solver_mrt" localSheetId="2" hidden="1">0.25</definedName>
    <definedName name="solver_msl" localSheetId="2" hidden="1">2</definedName>
    <definedName name="solver_neg" localSheetId="2" hidden="1">1</definedName>
    <definedName name="solver_nod" localSheetId="2" hidden="1">100000</definedName>
    <definedName name="solver_num" localSheetId="2" hidden="1">4</definedName>
    <definedName name="solver_opt" localSheetId="2" hidden="1">Sheet1!$A$28</definedName>
    <definedName name="solver_pre" localSheetId="2" hidden="1">0.000001</definedName>
    <definedName name="solver_rbv" localSheetId="2" hidden="1">1</definedName>
    <definedName name="solver_rel1" localSheetId="2" hidden="1">1</definedName>
    <definedName name="solver_rel2" localSheetId="2" hidden="1">1</definedName>
    <definedName name="solver_rel3" localSheetId="2" hidden="1">1</definedName>
    <definedName name="solver_rel4" localSheetId="2" hidden="1">5</definedName>
    <definedName name="solver_rhs1" localSheetId="2" hidden="1">Sheet1!$D$11</definedName>
    <definedName name="solver_rhs2" localSheetId="2" hidden="1">Sheet1!$D$12</definedName>
    <definedName name="solver_rhs3" localSheetId="2" hidden="1">Sheet1!$D$13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150</definedName>
    <definedName name="solver_tim" localSheetId="2" hidden="1">10000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1" l="1"/>
  <c r="H25" i="1"/>
  <c r="I25" i="1"/>
  <c r="J25" i="1"/>
  <c r="K25" i="1"/>
  <c r="L25" i="1"/>
  <c r="F25" i="1"/>
  <c r="G24" i="1"/>
  <c r="H24" i="1"/>
  <c r="I24" i="1"/>
  <c r="J24" i="1"/>
  <c r="K24" i="1"/>
  <c r="L24" i="1"/>
  <c r="F24" i="1"/>
  <c r="G23" i="1"/>
  <c r="H23" i="1"/>
  <c r="I23" i="1"/>
  <c r="J23" i="1"/>
  <c r="K23" i="1"/>
  <c r="L23" i="1"/>
  <c r="F23" i="1"/>
  <c r="M25" i="1" l="1"/>
  <c r="M24" i="1"/>
  <c r="M23" i="1"/>
  <c r="A28" i="1" l="1"/>
</calcChain>
</file>

<file path=xl/sharedStrings.xml><?xml version="1.0" encoding="utf-8"?>
<sst xmlns="http://schemas.openxmlformats.org/spreadsheetml/2006/main" count="317" uniqueCount="132">
  <si>
    <t>Day</t>
    <phoneticPr fontId="2" type="noConversion"/>
  </si>
  <si>
    <t>Load</t>
    <phoneticPr fontId="2" type="noConversion"/>
  </si>
  <si>
    <t>&lt;=</t>
  </si>
  <si>
    <t>&lt;=</t>
    <phoneticPr fontId="2" type="noConversion"/>
  </si>
  <si>
    <t>Generator</t>
    <phoneticPr fontId="2" type="noConversion"/>
  </si>
  <si>
    <t>Location</t>
    <phoneticPr fontId="2" type="noConversion"/>
  </si>
  <si>
    <t>Startup Cost</t>
    <phoneticPr fontId="2" type="noConversion"/>
  </si>
  <si>
    <t>Cost per Day</t>
    <phoneticPr fontId="2" type="noConversion"/>
  </si>
  <si>
    <t>Capacity per Day</t>
    <phoneticPr fontId="2" type="noConversion"/>
  </si>
  <si>
    <t>Maximum MW</t>
    <phoneticPr fontId="2" type="noConversion"/>
  </si>
  <si>
    <t>New River</t>
    <phoneticPr fontId="2" type="noConversion"/>
  </si>
  <si>
    <t>Galax</t>
    <phoneticPr fontId="2" type="noConversion"/>
  </si>
  <si>
    <t>James River</t>
    <phoneticPr fontId="2" type="noConversion"/>
  </si>
  <si>
    <t>&gt;=</t>
  </si>
  <si>
    <t>&gt;=</t>
    <phoneticPr fontId="2" type="noConversion"/>
  </si>
  <si>
    <t>Total Cost</t>
  </si>
  <si>
    <t>Total Cost</t>
    <phoneticPr fontId="2" type="noConversion"/>
  </si>
  <si>
    <t>200+5*MW</t>
    <phoneticPr fontId="2" type="noConversion"/>
  </si>
  <si>
    <t>300+4*MW</t>
    <phoneticPr fontId="2" type="noConversion"/>
  </si>
  <si>
    <t>250+7*MW</t>
    <phoneticPr fontId="2" type="noConversion"/>
  </si>
  <si>
    <t>Daily loading MW</t>
    <phoneticPr fontId="2" type="noConversion"/>
  </si>
  <si>
    <t>Daily Cost</t>
    <phoneticPr fontId="2" type="noConversion"/>
  </si>
  <si>
    <t>전력공급량</t>
    <phoneticPr fontId="2" type="noConversion"/>
  </si>
  <si>
    <t>Generator 가동변수(=2진수)</t>
  </si>
  <si>
    <t>Generator 가동변수(=2진수)</t>
    <phoneticPr fontId="2" type="noConversion"/>
  </si>
  <si>
    <t>Generator Total Cost</t>
    <phoneticPr fontId="2" type="noConversion"/>
  </si>
  <si>
    <t>Microsoft Excel 16.47 해답 보고서</t>
  </si>
  <si>
    <t>워크시트 이름: [통합 문서1]Sheet1</t>
  </si>
  <si>
    <t>보고서 작성일: 2021. 4. 2. 4:34:27 오후</t>
  </si>
  <si>
    <t>결과: 더 이상 해의 정밀도를 개선할 수 없습니다. 모든 제한 조건이 만족되었습니다.</t>
  </si>
  <si>
    <t>해 찾기 엔진</t>
  </si>
  <si>
    <t>엔진: Evolutionary</t>
  </si>
  <si>
    <t>해 찾는 시간: 36072.623 초.</t>
  </si>
  <si>
    <t>반복 횟수: 1148 부분 문제: 2844</t>
  </si>
  <si>
    <t>해 찾기 옵션</t>
  </si>
  <si>
    <t>최대 시간 10000 초, 반복 횟수 10000, Precision 0.000001</t>
  </si>
  <si>
    <t>수렴도 0.0001, 모집단 크기 150, 임의 초기값 0, 변이율 0.25, 개선을 포함하지 않는 시간 30 초, 필수 경계</t>
  </si>
  <si>
    <t>최대 부분 문제 100000, 최대 정수 해 100000, 정수 허용 한도 1%, 음수 아닌 것으로 가정</t>
  </si>
  <si>
    <t>목표 셀 (최소)</t>
  </si>
  <si>
    <t>셀</t>
  </si>
  <si>
    <t>이름</t>
  </si>
  <si>
    <t>계산 전의 값</t>
  </si>
  <si>
    <t>계산 값</t>
  </si>
  <si>
    <t>변수 셀</t>
  </si>
  <si>
    <t>정수</t>
  </si>
  <si>
    <t>제한 조건</t>
  </si>
  <si>
    <t>셀의 값</t>
  </si>
  <si>
    <t>수식</t>
  </si>
  <si>
    <t>상태</t>
  </si>
  <si>
    <t>조건과의 차</t>
  </si>
  <si>
    <t>$A$28</t>
  </si>
  <si>
    <t>$F$17</t>
  </si>
  <si>
    <t>$G$17</t>
  </si>
  <si>
    <t>$H$17</t>
  </si>
  <si>
    <t>$I$17</t>
  </si>
  <si>
    <t>$J$17</t>
  </si>
  <si>
    <t>$K$17</t>
  </si>
  <si>
    <t>$L$17</t>
  </si>
  <si>
    <t>$F$18</t>
  </si>
  <si>
    <t>$G$18</t>
  </si>
  <si>
    <t>$H$18</t>
  </si>
  <si>
    <t>$I$18</t>
  </si>
  <si>
    <t>$J$18</t>
  </si>
  <si>
    <t>$K$18</t>
  </si>
  <si>
    <t>$L$18</t>
  </si>
  <si>
    <t>$F$19</t>
  </si>
  <si>
    <t>$G$19</t>
  </si>
  <si>
    <t>$H$19</t>
  </si>
  <si>
    <t>$I$19</t>
  </si>
  <si>
    <t>$J$19</t>
  </si>
  <si>
    <t>$K$19</t>
  </si>
  <si>
    <t>$L$19</t>
  </si>
  <si>
    <t>$F$11</t>
  </si>
  <si>
    <t>&gt;= Daily loading MW</t>
  </si>
  <si>
    <t>$F$11&lt;=$D$11</t>
  </si>
  <si>
    <t>부분적 만족</t>
  </si>
  <si>
    <t>$G$11</t>
  </si>
  <si>
    <t>&gt;= &lt;=</t>
  </si>
  <si>
    <t>$G$11&lt;=$D$11</t>
  </si>
  <si>
    <t>$H$11</t>
  </si>
  <si>
    <t>$H$11&lt;=$D$11</t>
  </si>
  <si>
    <t>$I$11</t>
  </si>
  <si>
    <t>$I$11&lt;=$D$11</t>
  </si>
  <si>
    <t>$J$11</t>
  </si>
  <si>
    <t>$J$11&lt;=$D$11</t>
  </si>
  <si>
    <t>$K$11</t>
  </si>
  <si>
    <t>$K$11&lt;=$D$11</t>
  </si>
  <si>
    <t>$L$11</t>
  </si>
  <si>
    <t>$L$11&lt;=$D$11</t>
  </si>
  <si>
    <t>$F$12</t>
  </si>
  <si>
    <t>$F$12&lt;=$D$12</t>
  </si>
  <si>
    <t>$G$12</t>
  </si>
  <si>
    <t>$G$12&lt;=$D$12</t>
  </si>
  <si>
    <t>$H$12</t>
  </si>
  <si>
    <t>$H$12&lt;=$D$12</t>
  </si>
  <si>
    <t>$I$12</t>
  </si>
  <si>
    <t>$I$12&lt;=$D$12</t>
  </si>
  <si>
    <t>$J$12</t>
  </si>
  <si>
    <t>$J$12&lt;=$D$12</t>
  </si>
  <si>
    <t>$K$12</t>
  </si>
  <si>
    <t>$K$12&lt;=$D$12</t>
  </si>
  <si>
    <t>$L$12</t>
  </si>
  <si>
    <t>$L$12&lt;=$D$12</t>
  </si>
  <si>
    <t>$F$13</t>
  </si>
  <si>
    <t>$F$13&lt;=$D$13</t>
  </si>
  <si>
    <t>$G$13</t>
  </si>
  <si>
    <t>$G$13&lt;=$D$13</t>
  </si>
  <si>
    <t>$H$13</t>
  </si>
  <si>
    <t>$H$13&lt;=$D$13</t>
  </si>
  <si>
    <t>$I$13</t>
  </si>
  <si>
    <t>$I$13&lt;=$D$13</t>
  </si>
  <si>
    <t>$J$13</t>
  </si>
  <si>
    <t>$J$13&lt;=$D$13</t>
  </si>
  <si>
    <t>$K$13</t>
  </si>
  <si>
    <t>$K$13&lt;=$D$13</t>
  </si>
  <si>
    <t>$L$13</t>
  </si>
  <si>
    <t>$L$13&lt;=$D$13</t>
  </si>
  <si>
    <t>$F$17:$L$19=2진수</t>
  </si>
  <si>
    <t>2진수</t>
    <phoneticPr fontId="2" type="noConversion"/>
  </si>
  <si>
    <t>가동변수</t>
  </si>
  <si>
    <t>$F$11:$L$11 &lt;= $D$11</t>
  </si>
  <si>
    <t>$F$12:$L$12 &lt;= $D$12</t>
  </si>
  <si>
    <t>$F$13:$L$13 &lt;= $D$13</t>
  </si>
  <si>
    <t>Microsoft Excel 16.47 모집단 보고서</t>
  </si>
  <si>
    <t>보고서 작성일: 2021. 4. 2. 4:34:28 오후</t>
  </si>
  <si>
    <t>최상위</t>
  </si>
  <si>
    <t>값</t>
  </si>
  <si>
    <t>평균</t>
  </si>
  <si>
    <t>표준</t>
  </si>
  <si>
    <t>편차</t>
  </si>
  <si>
    <t>최대</t>
  </si>
  <si>
    <t>최소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</si>
</sst>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indexed="18"/>
      <name val="맑은 고딕"/>
      <family val="2"/>
      <charset val="129"/>
      <scheme val="minor"/>
    </font>
    <font>
      <b/>
      <sz val="12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0" xfId="0" applyBorder="1">
      <alignment vertical="center"/>
    </xf>
    <xf numFmtId="0" fontId="1" fillId="0" borderId="0" xfId="0" applyFont="1">
      <alignment vertical="center"/>
    </xf>
    <xf numFmtId="0" fontId="0" fillId="0" borderId="14" xfId="0" applyFill="1" applyBorder="1" applyAlignment="1">
      <alignment vertical="center"/>
    </xf>
    <xf numFmtId="0" fontId="3" fillId="0" borderId="13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14" xfId="0" applyNumberFormat="1" applyFill="1" applyBorder="1" applyAlignment="1">
      <alignment vertical="center"/>
    </xf>
    <xf numFmtId="0" fontId="0" fillId="0" borderId="15" xfId="0" applyNumberFormat="1" applyFill="1" applyBorder="1" applyAlignment="1">
      <alignment vertical="center"/>
    </xf>
    <xf numFmtId="0" fontId="0" fillId="0" borderId="0" xfId="0" applyNumberForma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15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ACD5-B180-204A-B294-A358A6D771B4}">
  <dimension ref="A1:G75"/>
  <sheetViews>
    <sheetView showGridLines="0" workbookViewId="0"/>
  </sheetViews>
  <sheetFormatPr baseColWidth="10" defaultRowHeight="18" outlineLevelRow="1"/>
  <cols>
    <col min="1" max="1" width="2.28515625" customWidth="1"/>
    <col min="2" max="2" width="17.28515625" bestFit="1" customWidth="1"/>
    <col min="3" max="3" width="24.7109375" bestFit="1" customWidth="1"/>
    <col min="4" max="4" width="11.42578125" bestFit="1" customWidth="1"/>
    <col min="5" max="5" width="14.85546875" bestFit="1" customWidth="1"/>
    <col min="6" max="7" width="10.85546875" bestFit="1" customWidth="1"/>
  </cols>
  <sheetData>
    <row r="1" spans="1:5">
      <c r="A1" s="17" t="s">
        <v>26</v>
      </c>
    </row>
    <row r="2" spans="1:5">
      <c r="A2" s="17" t="s">
        <v>27</v>
      </c>
    </row>
    <row r="3" spans="1:5">
      <c r="A3" s="17" t="s">
        <v>28</v>
      </c>
    </row>
    <row r="4" spans="1:5">
      <c r="A4" s="17" t="s">
        <v>29</v>
      </c>
    </row>
    <row r="5" spans="1:5">
      <c r="A5" s="17" t="s">
        <v>30</v>
      </c>
    </row>
    <row r="6" spans="1:5" hidden="1" outlineLevel="1">
      <c r="A6" s="17"/>
      <c r="B6" t="s">
        <v>31</v>
      </c>
    </row>
    <row r="7" spans="1:5" hidden="1" outlineLevel="1">
      <c r="A7" s="17"/>
      <c r="B7" t="s">
        <v>32</v>
      </c>
    </row>
    <row r="8" spans="1:5" hidden="1" outlineLevel="1">
      <c r="A8" s="17"/>
      <c r="B8" t="s">
        <v>33</v>
      </c>
    </row>
    <row r="9" spans="1:5" collapsed="1">
      <c r="A9" s="17" t="s">
        <v>34</v>
      </c>
    </row>
    <row r="10" spans="1:5" hidden="1" outlineLevel="1">
      <c r="B10" t="s">
        <v>35</v>
      </c>
    </row>
    <row r="11" spans="1:5" hidden="1" outlineLevel="1">
      <c r="B11" t="s">
        <v>36</v>
      </c>
    </row>
    <row r="12" spans="1:5" hidden="1" outlineLevel="1">
      <c r="B12" t="s">
        <v>37</v>
      </c>
    </row>
    <row r="13" spans="1:5" collapsed="1"/>
    <row r="14" spans="1:5" ht="19" thickBot="1">
      <c r="A14" t="s">
        <v>38</v>
      </c>
    </row>
    <row r="15" spans="1:5" ht="19" thickBot="1">
      <c r="B15" s="19" t="s">
        <v>39</v>
      </c>
      <c r="C15" s="19" t="s">
        <v>40</v>
      </c>
      <c r="D15" s="19" t="s">
        <v>41</v>
      </c>
      <c r="E15" s="19" t="s">
        <v>42</v>
      </c>
    </row>
    <row r="16" spans="1:5" ht="19" thickBot="1">
      <c r="B16" s="18" t="s">
        <v>50</v>
      </c>
      <c r="C16" s="18" t="s">
        <v>15</v>
      </c>
      <c r="D16" s="22">
        <v>0</v>
      </c>
      <c r="E16" s="22">
        <v>0</v>
      </c>
    </row>
    <row r="19" spans="1:6" ht="19" thickBot="1">
      <c r="A19" t="s">
        <v>43</v>
      </c>
    </row>
    <row r="20" spans="1:6" ht="19" thickBot="1">
      <c r="B20" s="19" t="s">
        <v>39</v>
      </c>
      <c r="C20" s="19" t="s">
        <v>40</v>
      </c>
      <c r="D20" s="19" t="s">
        <v>41</v>
      </c>
      <c r="E20" s="19" t="s">
        <v>42</v>
      </c>
      <c r="F20" s="19" t="s">
        <v>44</v>
      </c>
    </row>
    <row r="21" spans="1:6">
      <c r="B21" s="26" t="s">
        <v>119</v>
      </c>
      <c r="C21" s="25"/>
      <c r="D21" s="25"/>
      <c r="E21" s="25"/>
      <c r="F21" s="25"/>
    </row>
    <row r="22" spans="1:6" hidden="1" outlineLevel="1">
      <c r="B22" s="21" t="s">
        <v>51</v>
      </c>
      <c r="C22" s="21" t="s">
        <v>23</v>
      </c>
      <c r="D22" s="23">
        <v>0</v>
      </c>
      <c r="E22" s="23">
        <v>0</v>
      </c>
      <c r="F22" s="21" t="s">
        <v>118</v>
      </c>
    </row>
    <row r="23" spans="1:6" hidden="1" outlineLevel="1">
      <c r="B23" s="21" t="s">
        <v>52</v>
      </c>
      <c r="C23" s="21" t="s">
        <v>2</v>
      </c>
      <c r="D23" s="23">
        <v>0</v>
      </c>
      <c r="E23" s="23">
        <v>0</v>
      </c>
      <c r="F23" s="21" t="s">
        <v>118</v>
      </c>
    </row>
    <row r="24" spans="1:6" hidden="1" outlineLevel="1">
      <c r="B24" s="21" t="s">
        <v>53</v>
      </c>
      <c r="C24" s="21" t="s">
        <v>2</v>
      </c>
      <c r="D24" s="23">
        <v>0</v>
      </c>
      <c r="E24" s="23">
        <v>0</v>
      </c>
      <c r="F24" s="21" t="s">
        <v>118</v>
      </c>
    </row>
    <row r="25" spans="1:6" hidden="1" outlineLevel="1">
      <c r="B25" s="21" t="s">
        <v>54</v>
      </c>
      <c r="C25" s="21"/>
      <c r="D25" s="23">
        <v>0</v>
      </c>
      <c r="E25" s="23">
        <v>0</v>
      </c>
      <c r="F25" s="21" t="s">
        <v>118</v>
      </c>
    </row>
    <row r="26" spans="1:6" hidden="1" outlineLevel="1">
      <c r="B26" s="21" t="s">
        <v>55</v>
      </c>
      <c r="C26" s="21"/>
      <c r="D26" s="23">
        <v>0</v>
      </c>
      <c r="E26" s="23">
        <v>0</v>
      </c>
      <c r="F26" s="21" t="s">
        <v>118</v>
      </c>
    </row>
    <row r="27" spans="1:6" hidden="1" outlineLevel="1">
      <c r="B27" s="21" t="s">
        <v>56</v>
      </c>
      <c r="C27" s="21"/>
      <c r="D27" s="23">
        <v>0</v>
      </c>
      <c r="E27" s="23">
        <v>0</v>
      </c>
      <c r="F27" s="21" t="s">
        <v>118</v>
      </c>
    </row>
    <row r="28" spans="1:6" hidden="1" outlineLevel="1">
      <c r="B28" s="21" t="s">
        <v>57</v>
      </c>
      <c r="C28" s="21"/>
      <c r="D28" s="23">
        <v>0</v>
      </c>
      <c r="E28" s="23">
        <v>0</v>
      </c>
      <c r="F28" s="21" t="s">
        <v>118</v>
      </c>
    </row>
    <row r="29" spans="1:6" hidden="1" outlineLevel="1">
      <c r="B29" s="21" t="s">
        <v>58</v>
      </c>
      <c r="C29" s="21" t="s">
        <v>23</v>
      </c>
      <c r="D29" s="23">
        <v>0</v>
      </c>
      <c r="E29" s="23">
        <v>0</v>
      </c>
      <c r="F29" s="21" t="s">
        <v>118</v>
      </c>
    </row>
    <row r="30" spans="1:6" hidden="1" outlineLevel="1">
      <c r="B30" s="21" t="s">
        <v>59</v>
      </c>
      <c r="C30" s="21" t="s">
        <v>2</v>
      </c>
      <c r="D30" s="23">
        <v>0</v>
      </c>
      <c r="E30" s="23">
        <v>0</v>
      </c>
      <c r="F30" s="21" t="s">
        <v>118</v>
      </c>
    </row>
    <row r="31" spans="1:6" hidden="1" outlineLevel="1">
      <c r="B31" s="21" t="s">
        <v>60</v>
      </c>
      <c r="C31" s="21" t="s">
        <v>2</v>
      </c>
      <c r="D31" s="23">
        <v>0</v>
      </c>
      <c r="E31" s="23">
        <v>0</v>
      </c>
      <c r="F31" s="21" t="s">
        <v>118</v>
      </c>
    </row>
    <row r="32" spans="1:6" hidden="1" outlineLevel="1">
      <c r="B32" s="21" t="s">
        <v>61</v>
      </c>
      <c r="C32" s="21"/>
      <c r="D32" s="23">
        <v>0</v>
      </c>
      <c r="E32" s="23">
        <v>0</v>
      </c>
      <c r="F32" s="21" t="s">
        <v>118</v>
      </c>
    </row>
    <row r="33" spans="1:7" hidden="1" outlineLevel="1">
      <c r="B33" s="21" t="s">
        <v>62</v>
      </c>
      <c r="C33" s="21"/>
      <c r="D33" s="23">
        <v>0</v>
      </c>
      <c r="E33" s="23">
        <v>0</v>
      </c>
      <c r="F33" s="21" t="s">
        <v>118</v>
      </c>
    </row>
    <row r="34" spans="1:7" hidden="1" outlineLevel="1">
      <c r="B34" s="21" t="s">
        <v>63</v>
      </c>
      <c r="C34" s="21"/>
      <c r="D34" s="23">
        <v>0</v>
      </c>
      <c r="E34" s="23">
        <v>0</v>
      </c>
      <c r="F34" s="21" t="s">
        <v>118</v>
      </c>
    </row>
    <row r="35" spans="1:7" hidden="1" outlineLevel="1">
      <c r="B35" s="21" t="s">
        <v>64</v>
      </c>
      <c r="C35" s="21"/>
      <c r="D35" s="23">
        <v>0</v>
      </c>
      <c r="E35" s="23">
        <v>0</v>
      </c>
      <c r="F35" s="21" t="s">
        <v>118</v>
      </c>
    </row>
    <row r="36" spans="1:7" hidden="1" outlineLevel="1">
      <c r="B36" s="21" t="s">
        <v>65</v>
      </c>
      <c r="C36" s="21" t="s">
        <v>23</v>
      </c>
      <c r="D36" s="23">
        <v>0</v>
      </c>
      <c r="E36" s="23">
        <v>0</v>
      </c>
      <c r="F36" s="21" t="s">
        <v>118</v>
      </c>
    </row>
    <row r="37" spans="1:7" hidden="1" outlineLevel="1">
      <c r="B37" s="21" t="s">
        <v>66</v>
      </c>
      <c r="C37" s="21" t="s">
        <v>2</v>
      </c>
      <c r="D37" s="23">
        <v>0</v>
      </c>
      <c r="E37" s="23">
        <v>0</v>
      </c>
      <c r="F37" s="21" t="s">
        <v>118</v>
      </c>
    </row>
    <row r="38" spans="1:7" hidden="1" outlineLevel="1">
      <c r="B38" s="21" t="s">
        <v>67</v>
      </c>
      <c r="C38" s="21" t="s">
        <v>2</v>
      </c>
      <c r="D38" s="23">
        <v>0</v>
      </c>
      <c r="E38" s="23">
        <v>0</v>
      </c>
      <c r="F38" s="21" t="s">
        <v>118</v>
      </c>
    </row>
    <row r="39" spans="1:7" hidden="1" outlineLevel="1">
      <c r="B39" s="21" t="s">
        <v>68</v>
      </c>
      <c r="C39" s="21"/>
      <c r="D39" s="23">
        <v>0</v>
      </c>
      <c r="E39" s="23">
        <v>0</v>
      </c>
      <c r="F39" s="21" t="s">
        <v>118</v>
      </c>
    </row>
    <row r="40" spans="1:7" hidden="1" outlineLevel="1">
      <c r="B40" s="21" t="s">
        <v>69</v>
      </c>
      <c r="C40" s="21"/>
      <c r="D40" s="23">
        <v>0</v>
      </c>
      <c r="E40" s="23">
        <v>0</v>
      </c>
      <c r="F40" s="21" t="s">
        <v>118</v>
      </c>
    </row>
    <row r="41" spans="1:7" hidden="1" outlineLevel="1">
      <c r="B41" s="21" t="s">
        <v>70</v>
      </c>
      <c r="C41" s="21"/>
      <c r="D41" s="23">
        <v>0</v>
      </c>
      <c r="E41" s="23">
        <v>0</v>
      </c>
      <c r="F41" s="21" t="s">
        <v>118</v>
      </c>
    </row>
    <row r="42" spans="1:7" ht="19" hidden="1" outlineLevel="1" thickBot="1">
      <c r="B42" s="18" t="s">
        <v>71</v>
      </c>
      <c r="C42" s="18"/>
      <c r="D42" s="22">
        <v>0</v>
      </c>
      <c r="E42" s="22">
        <v>0</v>
      </c>
      <c r="F42" s="18" t="s">
        <v>118</v>
      </c>
    </row>
    <row r="43" spans="1:7" collapsed="1">
      <c r="B43" s="20"/>
      <c r="C43" s="20"/>
      <c r="D43" s="24"/>
      <c r="E43" s="24"/>
      <c r="F43" s="20"/>
    </row>
    <row r="46" spans="1:7" ht="19" thickBot="1">
      <c r="A46" t="s">
        <v>45</v>
      </c>
    </row>
    <row r="47" spans="1:7" ht="19" thickBot="1">
      <c r="B47" s="19" t="s">
        <v>39</v>
      </c>
      <c r="C47" s="19" t="s">
        <v>40</v>
      </c>
      <c r="D47" s="19" t="s">
        <v>46</v>
      </c>
      <c r="E47" s="19" t="s">
        <v>47</v>
      </c>
      <c r="F47" s="19" t="s">
        <v>48</v>
      </c>
      <c r="G47" s="19" t="s">
        <v>49</v>
      </c>
    </row>
    <row r="48" spans="1:7">
      <c r="B48" s="26" t="s">
        <v>120</v>
      </c>
      <c r="C48" s="25"/>
      <c r="D48" s="25"/>
      <c r="E48" s="25"/>
      <c r="F48" s="25"/>
      <c r="G48" s="25"/>
    </row>
    <row r="49" spans="2:7" hidden="1" outlineLevel="1">
      <c r="B49" s="21" t="s">
        <v>72</v>
      </c>
      <c r="C49" s="21" t="s">
        <v>73</v>
      </c>
      <c r="D49" s="23"/>
      <c r="E49" s="21" t="s">
        <v>74</v>
      </c>
      <c r="F49" s="21" t="s">
        <v>75</v>
      </c>
      <c r="G49" s="21">
        <v>2100</v>
      </c>
    </row>
    <row r="50" spans="2:7" hidden="1" outlineLevel="1">
      <c r="B50" s="21" t="s">
        <v>76</v>
      </c>
      <c r="C50" s="21" t="s">
        <v>77</v>
      </c>
      <c r="D50" s="23"/>
      <c r="E50" s="21" t="s">
        <v>78</v>
      </c>
      <c r="F50" s="21" t="s">
        <v>75</v>
      </c>
      <c r="G50" s="21">
        <v>2100</v>
      </c>
    </row>
    <row r="51" spans="2:7" hidden="1" outlineLevel="1">
      <c r="B51" s="21" t="s">
        <v>79</v>
      </c>
      <c r="C51" s="21" t="s">
        <v>77</v>
      </c>
      <c r="D51" s="23"/>
      <c r="E51" s="21" t="s">
        <v>80</v>
      </c>
      <c r="F51" s="21" t="s">
        <v>75</v>
      </c>
      <c r="G51" s="21">
        <v>2100</v>
      </c>
    </row>
    <row r="52" spans="2:7" hidden="1" outlineLevel="1">
      <c r="B52" s="21" t="s">
        <v>81</v>
      </c>
      <c r="C52" s="21" t="s">
        <v>13</v>
      </c>
      <c r="D52" s="23"/>
      <c r="E52" s="21" t="s">
        <v>82</v>
      </c>
      <c r="F52" s="21" t="s">
        <v>75</v>
      </c>
      <c r="G52" s="21">
        <v>2100</v>
      </c>
    </row>
    <row r="53" spans="2:7" hidden="1" outlineLevel="1">
      <c r="B53" s="21" t="s">
        <v>83</v>
      </c>
      <c r="C53" s="21" t="s">
        <v>13</v>
      </c>
      <c r="D53" s="23"/>
      <c r="E53" s="21" t="s">
        <v>84</v>
      </c>
      <c r="F53" s="21" t="s">
        <v>75</v>
      </c>
      <c r="G53" s="21">
        <v>2100</v>
      </c>
    </row>
    <row r="54" spans="2:7" hidden="1" outlineLevel="1">
      <c r="B54" s="21" t="s">
        <v>85</v>
      </c>
      <c r="C54" s="21" t="s">
        <v>13</v>
      </c>
      <c r="D54" s="23"/>
      <c r="E54" s="21" t="s">
        <v>86</v>
      </c>
      <c r="F54" s="21" t="s">
        <v>75</v>
      </c>
      <c r="G54" s="21">
        <v>2100</v>
      </c>
    </row>
    <row r="55" spans="2:7" hidden="1" outlineLevel="1">
      <c r="B55" s="21" t="s">
        <v>87</v>
      </c>
      <c r="C55" s="21" t="s">
        <v>13</v>
      </c>
      <c r="D55" s="23"/>
      <c r="E55" s="21" t="s">
        <v>88</v>
      </c>
      <c r="F55" s="21" t="s">
        <v>75</v>
      </c>
      <c r="G55" s="21">
        <v>2100</v>
      </c>
    </row>
    <row r="56" spans="2:7" collapsed="1">
      <c r="B56" s="21"/>
      <c r="C56" s="21"/>
      <c r="D56" s="23"/>
      <c r="E56" s="21"/>
      <c r="F56" s="21"/>
      <c r="G56" s="21"/>
    </row>
    <row r="57" spans="2:7">
      <c r="B57" s="27" t="s">
        <v>121</v>
      </c>
      <c r="C57" s="21"/>
      <c r="D57" s="23"/>
      <c r="E57" s="21"/>
      <c r="F57" s="21"/>
      <c r="G57" s="21"/>
    </row>
    <row r="58" spans="2:7" hidden="1" outlineLevel="1">
      <c r="B58" s="21" t="s">
        <v>89</v>
      </c>
      <c r="C58" s="21" t="s">
        <v>73</v>
      </c>
      <c r="D58" s="23"/>
      <c r="E58" s="21" t="s">
        <v>90</v>
      </c>
      <c r="F58" s="21" t="s">
        <v>75</v>
      </c>
      <c r="G58" s="21">
        <v>1900</v>
      </c>
    </row>
    <row r="59" spans="2:7" hidden="1" outlineLevel="1">
      <c r="B59" s="21" t="s">
        <v>91</v>
      </c>
      <c r="C59" s="21" t="s">
        <v>77</v>
      </c>
      <c r="D59" s="23"/>
      <c r="E59" s="21" t="s">
        <v>92</v>
      </c>
      <c r="F59" s="21" t="s">
        <v>75</v>
      </c>
      <c r="G59" s="21">
        <v>1900</v>
      </c>
    </row>
    <row r="60" spans="2:7" hidden="1" outlineLevel="1">
      <c r="B60" s="21" t="s">
        <v>93</v>
      </c>
      <c r="C60" s="21" t="s">
        <v>77</v>
      </c>
      <c r="D60" s="23"/>
      <c r="E60" s="21" t="s">
        <v>94</v>
      </c>
      <c r="F60" s="21" t="s">
        <v>75</v>
      </c>
      <c r="G60" s="21">
        <v>1900</v>
      </c>
    </row>
    <row r="61" spans="2:7" hidden="1" outlineLevel="1">
      <c r="B61" s="21" t="s">
        <v>95</v>
      </c>
      <c r="C61" s="21" t="s">
        <v>13</v>
      </c>
      <c r="D61" s="23"/>
      <c r="E61" s="21" t="s">
        <v>96</v>
      </c>
      <c r="F61" s="21" t="s">
        <v>75</v>
      </c>
      <c r="G61" s="21">
        <v>1900</v>
      </c>
    </row>
    <row r="62" spans="2:7" hidden="1" outlineLevel="1">
      <c r="B62" s="21" t="s">
        <v>97</v>
      </c>
      <c r="C62" s="21" t="s">
        <v>13</v>
      </c>
      <c r="D62" s="23"/>
      <c r="E62" s="21" t="s">
        <v>98</v>
      </c>
      <c r="F62" s="21" t="s">
        <v>75</v>
      </c>
      <c r="G62" s="21">
        <v>1900</v>
      </c>
    </row>
    <row r="63" spans="2:7" hidden="1" outlineLevel="1">
      <c r="B63" s="21" t="s">
        <v>99</v>
      </c>
      <c r="C63" s="21" t="s">
        <v>13</v>
      </c>
      <c r="D63" s="23"/>
      <c r="E63" s="21" t="s">
        <v>100</v>
      </c>
      <c r="F63" s="21" t="s">
        <v>75</v>
      </c>
      <c r="G63" s="21">
        <v>1900</v>
      </c>
    </row>
    <row r="64" spans="2:7" hidden="1" outlineLevel="1">
      <c r="B64" s="21" t="s">
        <v>101</v>
      </c>
      <c r="C64" s="21" t="s">
        <v>13</v>
      </c>
      <c r="D64" s="23"/>
      <c r="E64" s="21" t="s">
        <v>102</v>
      </c>
      <c r="F64" s="21" t="s">
        <v>75</v>
      </c>
      <c r="G64" s="21">
        <v>1900</v>
      </c>
    </row>
    <row r="65" spans="2:7" collapsed="1">
      <c r="B65" s="21"/>
      <c r="C65" s="21"/>
      <c r="D65" s="23"/>
      <c r="E65" s="21"/>
      <c r="F65" s="21"/>
      <c r="G65" s="21"/>
    </row>
    <row r="66" spans="2:7">
      <c r="B66" s="27" t="s">
        <v>122</v>
      </c>
      <c r="C66" s="21"/>
      <c r="D66" s="23"/>
      <c r="E66" s="21"/>
      <c r="F66" s="21"/>
      <c r="G66" s="21"/>
    </row>
    <row r="67" spans="2:7" hidden="1" outlineLevel="1">
      <c r="B67" s="21" t="s">
        <v>103</v>
      </c>
      <c r="C67" s="21" t="s">
        <v>73</v>
      </c>
      <c r="D67" s="23"/>
      <c r="E67" s="21" t="s">
        <v>104</v>
      </c>
      <c r="F67" s="21" t="s">
        <v>75</v>
      </c>
      <c r="G67" s="21">
        <v>3000</v>
      </c>
    </row>
    <row r="68" spans="2:7" hidden="1" outlineLevel="1">
      <c r="B68" s="21" t="s">
        <v>105</v>
      </c>
      <c r="C68" s="21" t="s">
        <v>77</v>
      </c>
      <c r="D68" s="23"/>
      <c r="E68" s="21" t="s">
        <v>106</v>
      </c>
      <c r="F68" s="21" t="s">
        <v>75</v>
      </c>
      <c r="G68" s="21">
        <v>3000</v>
      </c>
    </row>
    <row r="69" spans="2:7" hidden="1" outlineLevel="1">
      <c r="B69" s="21" t="s">
        <v>107</v>
      </c>
      <c r="C69" s="21" t="s">
        <v>77</v>
      </c>
      <c r="D69" s="23"/>
      <c r="E69" s="21" t="s">
        <v>108</v>
      </c>
      <c r="F69" s="21" t="s">
        <v>75</v>
      </c>
      <c r="G69" s="21">
        <v>3000</v>
      </c>
    </row>
    <row r="70" spans="2:7" hidden="1" outlineLevel="1">
      <c r="B70" s="21" t="s">
        <v>109</v>
      </c>
      <c r="C70" s="21" t="s">
        <v>13</v>
      </c>
      <c r="D70" s="23"/>
      <c r="E70" s="21" t="s">
        <v>110</v>
      </c>
      <c r="F70" s="21" t="s">
        <v>75</v>
      </c>
      <c r="G70" s="21">
        <v>3000</v>
      </c>
    </row>
    <row r="71" spans="2:7" hidden="1" outlineLevel="1">
      <c r="B71" s="21" t="s">
        <v>111</v>
      </c>
      <c r="C71" s="21" t="s">
        <v>13</v>
      </c>
      <c r="D71" s="23"/>
      <c r="E71" s="21" t="s">
        <v>112</v>
      </c>
      <c r="F71" s="21" t="s">
        <v>75</v>
      </c>
      <c r="G71" s="21">
        <v>3000</v>
      </c>
    </row>
    <row r="72" spans="2:7" hidden="1" outlineLevel="1">
      <c r="B72" s="21" t="s">
        <v>113</v>
      </c>
      <c r="C72" s="21" t="s">
        <v>13</v>
      </c>
      <c r="D72" s="23"/>
      <c r="E72" s="21" t="s">
        <v>114</v>
      </c>
      <c r="F72" s="21" t="s">
        <v>75</v>
      </c>
      <c r="G72" s="21">
        <v>3000</v>
      </c>
    </row>
    <row r="73" spans="2:7" hidden="1" outlineLevel="1">
      <c r="B73" s="21" t="s">
        <v>115</v>
      </c>
      <c r="C73" s="21" t="s">
        <v>13</v>
      </c>
      <c r="D73" s="23"/>
      <c r="E73" s="21" t="s">
        <v>116</v>
      </c>
      <c r="F73" s="21" t="s">
        <v>75</v>
      </c>
      <c r="G73" s="21">
        <v>3000</v>
      </c>
    </row>
    <row r="74" spans="2:7" collapsed="1">
      <c r="B74" s="21"/>
      <c r="C74" s="21"/>
      <c r="D74" s="23"/>
      <c r="E74" s="21"/>
      <c r="F74" s="21"/>
      <c r="G74" s="21"/>
    </row>
    <row r="75" spans="2:7" ht="19" thickBot="1">
      <c r="B75" s="18" t="s">
        <v>117</v>
      </c>
      <c r="C75" s="18"/>
      <c r="D75" s="18"/>
      <c r="E75" s="18"/>
      <c r="F75" s="18"/>
      <c r="G75" s="18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3BFD7-3C41-6646-B997-E9B66E8C4652}">
  <dimension ref="A1:H62"/>
  <sheetViews>
    <sheetView showGridLines="0" workbookViewId="0">
      <selection sqref="A1:A3"/>
    </sheetView>
  </sheetViews>
  <sheetFormatPr baseColWidth="10" defaultRowHeight="18" outlineLevelRow="1"/>
  <cols>
    <col min="1" max="1" width="2.28515625" customWidth="1"/>
    <col min="2" max="2" width="7" bestFit="1" customWidth="1"/>
    <col min="3" max="3" width="24.7109375" bestFit="1" customWidth="1"/>
    <col min="4" max="4" width="6.85546875" bestFit="1" customWidth="1"/>
    <col min="5" max="6" width="12.7109375" bestFit="1" customWidth="1"/>
    <col min="7" max="8" width="5.140625" bestFit="1" customWidth="1"/>
  </cols>
  <sheetData>
    <row r="1" spans="1:8">
      <c r="A1" s="17" t="s">
        <v>123</v>
      </c>
    </row>
    <row r="2" spans="1:8">
      <c r="A2" s="17" t="s">
        <v>27</v>
      </c>
    </row>
    <row r="3" spans="1:8">
      <c r="A3" s="17" t="s">
        <v>124</v>
      </c>
    </row>
    <row r="6" spans="1:8" ht="19" thickBot="1">
      <c r="A6" t="s">
        <v>43</v>
      </c>
    </row>
    <row r="7" spans="1:8">
      <c r="B7" s="28"/>
      <c r="C7" s="28"/>
      <c r="D7" s="28" t="s">
        <v>125</v>
      </c>
      <c r="E7" s="28" t="s">
        <v>127</v>
      </c>
      <c r="F7" s="28" t="s">
        <v>128</v>
      </c>
      <c r="G7" s="28" t="s">
        <v>130</v>
      </c>
      <c r="H7" s="28" t="s">
        <v>131</v>
      </c>
    </row>
    <row r="8" spans="1:8" ht="19" thickBot="1">
      <c r="B8" s="29" t="s">
        <v>39</v>
      </c>
      <c r="C8" s="29" t="s">
        <v>40</v>
      </c>
      <c r="D8" s="29" t="s">
        <v>126</v>
      </c>
      <c r="E8" s="29" t="s">
        <v>126</v>
      </c>
      <c r="F8" s="29" t="s">
        <v>129</v>
      </c>
      <c r="G8" s="29" t="s">
        <v>126</v>
      </c>
      <c r="H8" s="29" t="s">
        <v>126</v>
      </c>
    </row>
    <row r="9" spans="1:8">
      <c r="B9" s="26" t="s">
        <v>119</v>
      </c>
      <c r="C9" s="25"/>
      <c r="D9" s="25"/>
      <c r="E9" s="25"/>
      <c r="F9" s="25"/>
      <c r="G9" s="25"/>
      <c r="H9" s="25"/>
    </row>
    <row r="10" spans="1:8" hidden="1" outlineLevel="1">
      <c r="B10" s="21" t="s">
        <v>51</v>
      </c>
      <c r="C10" s="21" t="s">
        <v>23</v>
      </c>
      <c r="D10" s="23">
        <v>0</v>
      </c>
      <c r="E10" s="23">
        <v>6.6666666666666671E-3</v>
      </c>
      <c r="F10" s="21">
        <v>8.1649658092772581E-2</v>
      </c>
      <c r="G10" s="21">
        <v>1</v>
      </c>
      <c r="H10" s="21">
        <v>0</v>
      </c>
    </row>
    <row r="11" spans="1:8" hidden="1" outlineLevel="1">
      <c r="B11" s="21" t="s">
        <v>52</v>
      </c>
      <c r="C11" s="21" t="s">
        <v>2</v>
      </c>
      <c r="D11" s="23">
        <v>0</v>
      </c>
      <c r="E11" s="23">
        <v>6.6666666666666671E-3</v>
      </c>
      <c r="F11" s="21">
        <v>8.1649658092772595E-2</v>
      </c>
      <c r="G11" s="21">
        <v>1</v>
      </c>
      <c r="H11" s="21">
        <v>0</v>
      </c>
    </row>
    <row r="12" spans="1:8" hidden="1" outlineLevel="1">
      <c r="B12" s="21" t="s">
        <v>53</v>
      </c>
      <c r="C12" s="21" t="s">
        <v>2</v>
      </c>
      <c r="D12" s="23">
        <v>0</v>
      </c>
      <c r="E12" s="23">
        <v>0</v>
      </c>
      <c r="F12" s="21">
        <v>0</v>
      </c>
      <c r="G12" s="21">
        <v>0</v>
      </c>
      <c r="H12" s="21">
        <v>0</v>
      </c>
    </row>
    <row r="13" spans="1:8" hidden="1" outlineLevel="1">
      <c r="B13" s="21" t="s">
        <v>54</v>
      </c>
      <c r="C13" s="21"/>
      <c r="D13" s="23">
        <v>0</v>
      </c>
      <c r="E13" s="23">
        <v>6.6666666666666671E-3</v>
      </c>
      <c r="F13" s="21">
        <v>8.1649658092772595E-2</v>
      </c>
      <c r="G13" s="21">
        <v>1</v>
      </c>
      <c r="H13" s="21">
        <v>0</v>
      </c>
    </row>
    <row r="14" spans="1:8" hidden="1" outlineLevel="1">
      <c r="B14" s="21" t="s">
        <v>55</v>
      </c>
      <c r="C14" s="21"/>
      <c r="D14" s="23">
        <v>0</v>
      </c>
      <c r="E14" s="23">
        <v>2.6666666666666668E-2</v>
      </c>
      <c r="F14" s="21">
        <v>0.16164700403963203</v>
      </c>
      <c r="G14" s="21">
        <v>1</v>
      </c>
      <c r="H14" s="21">
        <v>0</v>
      </c>
    </row>
    <row r="15" spans="1:8" hidden="1" outlineLevel="1">
      <c r="B15" s="21" t="s">
        <v>56</v>
      </c>
      <c r="C15" s="21"/>
      <c r="D15" s="23">
        <v>0</v>
      </c>
      <c r="E15" s="23">
        <v>1.3333333333333334E-2</v>
      </c>
      <c r="F15" s="21">
        <v>0.11508191810497582</v>
      </c>
      <c r="G15" s="21">
        <v>1</v>
      </c>
      <c r="H15" s="21">
        <v>0</v>
      </c>
    </row>
    <row r="16" spans="1:8" hidden="1" outlineLevel="1">
      <c r="B16" s="21" t="s">
        <v>57</v>
      </c>
      <c r="C16" s="21"/>
      <c r="D16" s="23">
        <v>0</v>
      </c>
      <c r="E16" s="23">
        <v>6.6666666666666671E-3</v>
      </c>
      <c r="F16" s="21">
        <v>8.1649658092772595E-2</v>
      </c>
      <c r="G16" s="21">
        <v>1</v>
      </c>
      <c r="H16" s="21">
        <v>0</v>
      </c>
    </row>
    <row r="17" spans="2:8" hidden="1" outlineLevel="1">
      <c r="B17" s="21" t="s">
        <v>58</v>
      </c>
      <c r="C17" s="21" t="s">
        <v>23</v>
      </c>
      <c r="D17" s="23">
        <v>0</v>
      </c>
      <c r="E17" s="23">
        <v>6.6666666666666671E-3</v>
      </c>
      <c r="F17" s="21">
        <v>8.1649658092772595E-2</v>
      </c>
      <c r="G17" s="21">
        <v>1</v>
      </c>
      <c r="H17" s="21">
        <v>0</v>
      </c>
    </row>
    <row r="18" spans="2:8" hidden="1" outlineLevel="1">
      <c r="B18" s="21" t="s">
        <v>59</v>
      </c>
      <c r="C18" s="21" t="s">
        <v>2</v>
      </c>
      <c r="D18" s="23">
        <v>0</v>
      </c>
      <c r="E18" s="23">
        <v>1.3333333333333334E-2</v>
      </c>
      <c r="F18" s="21">
        <v>0.11508191810497582</v>
      </c>
      <c r="G18" s="21">
        <v>1</v>
      </c>
      <c r="H18" s="21">
        <v>0</v>
      </c>
    </row>
    <row r="19" spans="2:8" hidden="1" outlineLevel="1">
      <c r="B19" s="21" t="s">
        <v>60</v>
      </c>
      <c r="C19" s="21" t="s">
        <v>2</v>
      </c>
      <c r="D19" s="23">
        <v>0</v>
      </c>
      <c r="E19" s="23">
        <v>6.6666666666666671E-3</v>
      </c>
      <c r="F19" s="21">
        <v>8.1649658092772595E-2</v>
      </c>
      <c r="G19" s="21">
        <v>1</v>
      </c>
      <c r="H19" s="21">
        <v>0</v>
      </c>
    </row>
    <row r="20" spans="2:8" hidden="1" outlineLevel="1">
      <c r="B20" s="21" t="s">
        <v>61</v>
      </c>
      <c r="C20" s="21"/>
      <c r="D20" s="23">
        <v>0</v>
      </c>
      <c r="E20" s="23">
        <v>2.6666666666666668E-2</v>
      </c>
      <c r="F20" s="21">
        <v>0.16164700403963206</v>
      </c>
      <c r="G20" s="21">
        <v>1</v>
      </c>
      <c r="H20" s="21">
        <v>0</v>
      </c>
    </row>
    <row r="21" spans="2:8" hidden="1" outlineLevel="1">
      <c r="B21" s="21" t="s">
        <v>62</v>
      </c>
      <c r="C21" s="21"/>
      <c r="D21" s="23">
        <v>0</v>
      </c>
      <c r="E21" s="23">
        <v>6.6666666666666671E-3</v>
      </c>
      <c r="F21" s="21">
        <v>8.1649658092772595E-2</v>
      </c>
      <c r="G21" s="21">
        <v>1</v>
      </c>
      <c r="H21" s="21">
        <v>0</v>
      </c>
    </row>
    <row r="22" spans="2:8" hidden="1" outlineLevel="1">
      <c r="B22" s="21" t="s">
        <v>63</v>
      </c>
      <c r="C22" s="21"/>
      <c r="D22" s="23">
        <v>0</v>
      </c>
      <c r="E22" s="23">
        <v>1.3333333333333334E-2</v>
      </c>
      <c r="F22" s="21">
        <v>0.11508191810497581</v>
      </c>
      <c r="G22" s="21">
        <v>1</v>
      </c>
      <c r="H22" s="21">
        <v>0</v>
      </c>
    </row>
    <row r="23" spans="2:8" hidden="1" outlineLevel="1">
      <c r="B23" s="21" t="s">
        <v>64</v>
      </c>
      <c r="C23" s="21"/>
      <c r="D23" s="23">
        <v>0</v>
      </c>
      <c r="E23" s="23">
        <v>6.6666666666666671E-3</v>
      </c>
      <c r="F23" s="21">
        <v>8.1649658092772595E-2</v>
      </c>
      <c r="G23" s="21">
        <v>1</v>
      </c>
      <c r="H23" s="21">
        <v>0</v>
      </c>
    </row>
    <row r="24" spans="2:8" hidden="1" outlineLevel="1">
      <c r="B24" s="21" t="s">
        <v>65</v>
      </c>
      <c r="C24" s="21" t="s">
        <v>23</v>
      </c>
      <c r="D24" s="23">
        <v>0</v>
      </c>
      <c r="E24" s="23">
        <v>0.16666666666666666</v>
      </c>
      <c r="F24" s="21">
        <v>0.37392650224713186</v>
      </c>
      <c r="G24" s="21">
        <v>1</v>
      </c>
      <c r="H24" s="21">
        <v>0</v>
      </c>
    </row>
    <row r="25" spans="2:8" hidden="1" outlineLevel="1">
      <c r="B25" s="21" t="s">
        <v>66</v>
      </c>
      <c r="C25" s="21" t="s">
        <v>2</v>
      </c>
      <c r="D25" s="23">
        <v>0</v>
      </c>
      <c r="E25" s="23">
        <v>0.14000000000000001</v>
      </c>
      <c r="F25" s="21">
        <v>0.34814947033030996</v>
      </c>
      <c r="G25" s="21">
        <v>1</v>
      </c>
      <c r="H25" s="21">
        <v>0</v>
      </c>
    </row>
    <row r="26" spans="2:8" hidden="1" outlineLevel="1">
      <c r="B26" s="21" t="s">
        <v>67</v>
      </c>
      <c r="C26" s="21" t="s">
        <v>2</v>
      </c>
      <c r="D26" s="23">
        <v>0</v>
      </c>
      <c r="E26" s="23">
        <v>0.22</v>
      </c>
      <c r="F26" s="21">
        <v>0.41563406724226704</v>
      </c>
      <c r="G26" s="21">
        <v>1</v>
      </c>
      <c r="H26" s="21">
        <v>0</v>
      </c>
    </row>
    <row r="27" spans="2:8" hidden="1" outlineLevel="1">
      <c r="B27" s="21" t="s">
        <v>68</v>
      </c>
      <c r="C27" s="21"/>
      <c r="D27" s="23">
        <v>0</v>
      </c>
      <c r="E27" s="23">
        <v>0.26</v>
      </c>
      <c r="F27" s="21">
        <v>0.44010370955921835</v>
      </c>
      <c r="G27" s="21">
        <v>1</v>
      </c>
      <c r="H27" s="21">
        <v>0</v>
      </c>
    </row>
    <row r="28" spans="2:8" hidden="1" outlineLevel="1">
      <c r="B28" s="21" t="s">
        <v>69</v>
      </c>
      <c r="C28" s="21"/>
      <c r="D28" s="23">
        <v>0</v>
      </c>
      <c r="E28" s="23">
        <v>0.21333333333333335</v>
      </c>
      <c r="F28" s="21">
        <v>0.41103350941413208</v>
      </c>
      <c r="G28" s="21">
        <v>1</v>
      </c>
      <c r="H28" s="21">
        <v>0</v>
      </c>
    </row>
    <row r="29" spans="2:8" hidden="1" outlineLevel="1">
      <c r="B29" s="21" t="s">
        <v>70</v>
      </c>
      <c r="C29" s="21"/>
      <c r="D29" s="23">
        <v>0</v>
      </c>
      <c r="E29" s="23">
        <v>0.02</v>
      </c>
      <c r="F29" s="21">
        <v>0.14046901303903672</v>
      </c>
      <c r="G29" s="21">
        <v>1</v>
      </c>
      <c r="H29" s="21">
        <v>0</v>
      </c>
    </row>
    <row r="30" spans="2:8" ht="19" hidden="1" outlineLevel="1" thickBot="1">
      <c r="B30" s="18" t="s">
        <v>71</v>
      </c>
      <c r="C30" s="18"/>
      <c r="D30" s="22">
        <v>0</v>
      </c>
      <c r="E30" s="22">
        <v>0.12</v>
      </c>
      <c r="F30" s="18">
        <v>0.32605018759726989</v>
      </c>
      <c r="G30" s="18">
        <v>1</v>
      </c>
      <c r="H30" s="18">
        <v>0</v>
      </c>
    </row>
    <row r="31" spans="2:8" collapsed="1">
      <c r="B31" s="20"/>
      <c r="C31" s="20"/>
      <c r="D31" s="24"/>
      <c r="E31" s="24"/>
      <c r="F31" s="20"/>
      <c r="G31" s="20"/>
      <c r="H31" s="20"/>
    </row>
    <row r="33" spans="1:8" ht="19" thickBot="1">
      <c r="A33" t="s">
        <v>45</v>
      </c>
    </row>
    <row r="34" spans="1:8">
      <c r="B34" s="28"/>
      <c r="C34" s="28"/>
      <c r="D34" s="28" t="s">
        <v>125</v>
      </c>
      <c r="E34" s="28" t="s">
        <v>127</v>
      </c>
      <c r="F34" s="28" t="s">
        <v>128</v>
      </c>
      <c r="G34" s="28" t="s">
        <v>130</v>
      </c>
      <c r="H34" s="28" t="s">
        <v>131</v>
      </c>
    </row>
    <row r="35" spans="1:8" ht="19" thickBot="1">
      <c r="B35" s="29" t="s">
        <v>39</v>
      </c>
      <c r="C35" s="29" t="s">
        <v>40</v>
      </c>
      <c r="D35" s="29" t="s">
        <v>126</v>
      </c>
      <c r="E35" s="29" t="s">
        <v>126</v>
      </c>
      <c r="F35" s="29" t="s">
        <v>129</v>
      </c>
      <c r="G35" s="29" t="s">
        <v>126</v>
      </c>
      <c r="H35" s="29" t="s">
        <v>126</v>
      </c>
    </row>
    <row r="36" spans="1:8">
      <c r="B36" s="26" t="s">
        <v>120</v>
      </c>
      <c r="C36" s="25"/>
      <c r="D36" s="25"/>
      <c r="E36" s="25"/>
      <c r="F36" s="25"/>
      <c r="G36" s="25"/>
      <c r="H36" s="25"/>
    </row>
    <row r="37" spans="1:8" hidden="1" outlineLevel="1">
      <c r="B37" s="21" t="s">
        <v>72</v>
      </c>
      <c r="C37" s="21" t="s">
        <v>73</v>
      </c>
      <c r="D37" s="23"/>
      <c r="E37" s="23">
        <v>0</v>
      </c>
      <c r="F37" s="21">
        <v>0</v>
      </c>
      <c r="G37" s="21">
        <v>0</v>
      </c>
      <c r="H37" s="21">
        <v>0</v>
      </c>
    </row>
    <row r="38" spans="1:8" hidden="1" outlineLevel="1">
      <c r="B38" s="21" t="s">
        <v>76</v>
      </c>
      <c r="C38" s="21" t="s">
        <v>77</v>
      </c>
      <c r="D38" s="23"/>
      <c r="E38" s="23">
        <v>0</v>
      </c>
      <c r="F38" s="21">
        <v>0</v>
      </c>
      <c r="G38" s="21">
        <v>0</v>
      </c>
      <c r="H38" s="21">
        <v>0</v>
      </c>
    </row>
    <row r="39" spans="1:8" hidden="1" outlineLevel="1">
      <c r="B39" s="21" t="s">
        <v>79</v>
      </c>
      <c r="C39" s="21" t="s">
        <v>77</v>
      </c>
      <c r="D39" s="23"/>
      <c r="E39" s="23">
        <v>0</v>
      </c>
      <c r="F39" s="21">
        <v>0</v>
      </c>
      <c r="G39" s="21">
        <v>0</v>
      </c>
      <c r="H39" s="21">
        <v>0</v>
      </c>
    </row>
    <row r="40" spans="1:8" hidden="1" outlineLevel="1">
      <c r="B40" s="21" t="s">
        <v>81</v>
      </c>
      <c r="C40" s="21" t="s">
        <v>13</v>
      </c>
      <c r="D40" s="23"/>
      <c r="E40" s="23">
        <v>0</v>
      </c>
      <c r="F40" s="21">
        <v>0</v>
      </c>
      <c r="G40" s="21">
        <v>0</v>
      </c>
      <c r="H40" s="21">
        <v>0</v>
      </c>
    </row>
    <row r="41" spans="1:8" hidden="1" outlineLevel="1">
      <c r="B41" s="21" t="s">
        <v>83</v>
      </c>
      <c r="C41" s="21" t="s">
        <v>13</v>
      </c>
      <c r="D41" s="23"/>
      <c r="E41" s="23">
        <v>0</v>
      </c>
      <c r="F41" s="21">
        <v>0</v>
      </c>
      <c r="G41" s="21">
        <v>0</v>
      </c>
      <c r="H41" s="21">
        <v>0</v>
      </c>
    </row>
    <row r="42" spans="1:8" hidden="1" outlineLevel="1">
      <c r="B42" s="21" t="s">
        <v>85</v>
      </c>
      <c r="C42" s="21" t="s">
        <v>13</v>
      </c>
      <c r="D42" s="23"/>
      <c r="E42" s="23">
        <v>0</v>
      </c>
      <c r="F42" s="21">
        <v>0</v>
      </c>
      <c r="G42" s="21">
        <v>0</v>
      </c>
      <c r="H42" s="21">
        <v>0</v>
      </c>
    </row>
    <row r="43" spans="1:8" hidden="1" outlineLevel="1">
      <c r="B43" s="21" t="s">
        <v>87</v>
      </c>
      <c r="C43" s="21" t="s">
        <v>13</v>
      </c>
      <c r="D43" s="23"/>
      <c r="E43" s="23">
        <v>0</v>
      </c>
      <c r="F43" s="21">
        <v>0</v>
      </c>
      <c r="G43" s="21">
        <v>0</v>
      </c>
      <c r="H43" s="21">
        <v>0</v>
      </c>
    </row>
    <row r="44" spans="1:8" collapsed="1">
      <c r="B44" s="21"/>
      <c r="C44" s="21"/>
      <c r="D44" s="23"/>
      <c r="E44" s="23"/>
      <c r="F44" s="21"/>
      <c r="G44" s="21"/>
      <c r="H44" s="21"/>
    </row>
    <row r="45" spans="1:8">
      <c r="B45" s="27" t="s">
        <v>121</v>
      </c>
      <c r="C45" s="21"/>
      <c r="D45" s="23"/>
      <c r="E45" s="23"/>
      <c r="F45" s="21"/>
      <c r="G45" s="21"/>
      <c r="H45" s="21"/>
    </row>
    <row r="46" spans="1:8" hidden="1" outlineLevel="1">
      <c r="B46" s="21" t="s">
        <v>89</v>
      </c>
      <c r="C46" s="21" t="s">
        <v>73</v>
      </c>
      <c r="D46" s="23"/>
      <c r="E46" s="23">
        <v>0</v>
      </c>
      <c r="F46" s="21">
        <v>0</v>
      </c>
      <c r="G46" s="21">
        <v>0</v>
      </c>
      <c r="H46" s="21">
        <v>0</v>
      </c>
    </row>
    <row r="47" spans="1:8" hidden="1" outlineLevel="1">
      <c r="B47" s="21" t="s">
        <v>91</v>
      </c>
      <c r="C47" s="21" t="s">
        <v>77</v>
      </c>
      <c r="D47" s="23"/>
      <c r="E47" s="23">
        <v>0</v>
      </c>
      <c r="F47" s="21">
        <v>0</v>
      </c>
      <c r="G47" s="21">
        <v>0</v>
      </c>
      <c r="H47" s="21">
        <v>0</v>
      </c>
    </row>
    <row r="48" spans="1:8" hidden="1" outlineLevel="1">
      <c r="B48" s="21" t="s">
        <v>93</v>
      </c>
      <c r="C48" s="21" t="s">
        <v>77</v>
      </c>
      <c r="D48" s="23"/>
      <c r="E48" s="23">
        <v>0</v>
      </c>
      <c r="F48" s="21">
        <v>0</v>
      </c>
      <c r="G48" s="21">
        <v>0</v>
      </c>
      <c r="H48" s="21">
        <v>0</v>
      </c>
    </row>
    <row r="49" spans="2:8" hidden="1" outlineLevel="1">
      <c r="B49" s="21" t="s">
        <v>95</v>
      </c>
      <c r="C49" s="21" t="s">
        <v>13</v>
      </c>
      <c r="D49" s="23"/>
      <c r="E49" s="23">
        <v>0</v>
      </c>
      <c r="F49" s="21">
        <v>0</v>
      </c>
      <c r="G49" s="21">
        <v>0</v>
      </c>
      <c r="H49" s="21">
        <v>0</v>
      </c>
    </row>
    <row r="50" spans="2:8" hidden="1" outlineLevel="1">
      <c r="B50" s="21" t="s">
        <v>97</v>
      </c>
      <c r="C50" s="21" t="s">
        <v>13</v>
      </c>
      <c r="D50" s="23"/>
      <c r="E50" s="23">
        <v>0</v>
      </c>
      <c r="F50" s="21">
        <v>0</v>
      </c>
      <c r="G50" s="21">
        <v>0</v>
      </c>
      <c r="H50" s="21">
        <v>0</v>
      </c>
    </row>
    <row r="51" spans="2:8" hidden="1" outlineLevel="1">
      <c r="B51" s="21" t="s">
        <v>99</v>
      </c>
      <c r="C51" s="21" t="s">
        <v>13</v>
      </c>
      <c r="D51" s="23"/>
      <c r="E51" s="23">
        <v>0</v>
      </c>
      <c r="F51" s="21">
        <v>0</v>
      </c>
      <c r="G51" s="21">
        <v>0</v>
      </c>
      <c r="H51" s="21">
        <v>0</v>
      </c>
    </row>
    <row r="52" spans="2:8" hidden="1" outlineLevel="1">
      <c r="B52" s="21" t="s">
        <v>101</v>
      </c>
      <c r="C52" s="21" t="s">
        <v>13</v>
      </c>
      <c r="D52" s="23"/>
      <c r="E52" s="23">
        <v>0</v>
      </c>
      <c r="F52" s="21">
        <v>0</v>
      </c>
      <c r="G52" s="21">
        <v>0</v>
      </c>
      <c r="H52" s="21">
        <v>0</v>
      </c>
    </row>
    <row r="53" spans="2:8" collapsed="1">
      <c r="B53" s="21"/>
      <c r="C53" s="21"/>
      <c r="D53" s="23"/>
      <c r="E53" s="23"/>
      <c r="F53" s="21"/>
      <c r="G53" s="21"/>
      <c r="H53" s="21"/>
    </row>
    <row r="54" spans="2:8">
      <c r="B54" s="27" t="s">
        <v>122</v>
      </c>
      <c r="C54" s="21"/>
      <c r="D54" s="23"/>
      <c r="E54" s="23"/>
      <c r="F54" s="21"/>
      <c r="G54" s="21"/>
      <c r="H54" s="21"/>
    </row>
    <row r="55" spans="2:8" hidden="1" outlineLevel="1">
      <c r="B55" s="21" t="s">
        <v>103</v>
      </c>
      <c r="C55" s="21" t="s">
        <v>73</v>
      </c>
      <c r="D55" s="23"/>
      <c r="E55" s="23">
        <v>0</v>
      </c>
      <c r="F55" s="21">
        <v>0</v>
      </c>
      <c r="G55" s="21">
        <v>0</v>
      </c>
      <c r="H55" s="21">
        <v>0</v>
      </c>
    </row>
    <row r="56" spans="2:8" hidden="1" outlineLevel="1">
      <c r="B56" s="21" t="s">
        <v>105</v>
      </c>
      <c r="C56" s="21" t="s">
        <v>77</v>
      </c>
      <c r="D56" s="23"/>
      <c r="E56" s="23">
        <v>0</v>
      </c>
      <c r="F56" s="21">
        <v>0</v>
      </c>
      <c r="G56" s="21">
        <v>0</v>
      </c>
      <c r="H56" s="21">
        <v>0</v>
      </c>
    </row>
    <row r="57" spans="2:8" hidden="1" outlineLevel="1">
      <c r="B57" s="21" t="s">
        <v>107</v>
      </c>
      <c r="C57" s="21" t="s">
        <v>77</v>
      </c>
      <c r="D57" s="23"/>
      <c r="E57" s="23">
        <v>0</v>
      </c>
      <c r="F57" s="21">
        <v>0</v>
      </c>
      <c r="G57" s="21">
        <v>0</v>
      </c>
      <c r="H57" s="21">
        <v>0</v>
      </c>
    </row>
    <row r="58" spans="2:8" hidden="1" outlineLevel="1">
      <c r="B58" s="21" t="s">
        <v>109</v>
      </c>
      <c r="C58" s="21" t="s">
        <v>13</v>
      </c>
      <c r="D58" s="23"/>
      <c r="E58" s="23">
        <v>0</v>
      </c>
      <c r="F58" s="21">
        <v>0</v>
      </c>
      <c r="G58" s="21">
        <v>0</v>
      </c>
      <c r="H58" s="21">
        <v>0</v>
      </c>
    </row>
    <row r="59" spans="2:8" hidden="1" outlineLevel="1">
      <c r="B59" s="21" t="s">
        <v>111</v>
      </c>
      <c r="C59" s="21" t="s">
        <v>13</v>
      </c>
      <c r="D59" s="23"/>
      <c r="E59" s="23">
        <v>0</v>
      </c>
      <c r="F59" s="21">
        <v>0</v>
      </c>
      <c r="G59" s="21">
        <v>0</v>
      </c>
      <c r="H59" s="21">
        <v>0</v>
      </c>
    </row>
    <row r="60" spans="2:8" hidden="1" outlineLevel="1">
      <c r="B60" s="21" t="s">
        <v>113</v>
      </c>
      <c r="C60" s="21" t="s">
        <v>13</v>
      </c>
      <c r="D60" s="23"/>
      <c r="E60" s="23">
        <v>0</v>
      </c>
      <c r="F60" s="21">
        <v>0</v>
      </c>
      <c r="G60" s="21">
        <v>0</v>
      </c>
      <c r="H60" s="21">
        <v>0</v>
      </c>
    </row>
    <row r="61" spans="2:8" ht="19" hidden="1" outlineLevel="1" thickBot="1">
      <c r="B61" s="18" t="s">
        <v>115</v>
      </c>
      <c r="C61" s="18" t="s">
        <v>13</v>
      </c>
      <c r="D61" s="22"/>
      <c r="E61" s="22">
        <v>0</v>
      </c>
      <c r="F61" s="18">
        <v>0</v>
      </c>
      <c r="G61" s="18">
        <v>0</v>
      </c>
      <c r="H61" s="18">
        <v>0</v>
      </c>
    </row>
    <row r="62" spans="2:8" collapsed="1">
      <c r="B62" s="20"/>
      <c r="C62" s="20"/>
      <c r="D62" s="24"/>
      <c r="E62" s="24"/>
      <c r="F62" s="20"/>
      <c r="G62" s="20"/>
      <c r="H62" s="20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44777-29C6-F742-ACC2-215C96B39872}">
  <dimension ref="A3:M28"/>
  <sheetViews>
    <sheetView tabSelected="1" workbookViewId="0">
      <selection activeCell="A28" sqref="A28"/>
    </sheetView>
  </sheetViews>
  <sheetFormatPr baseColWidth="10" defaultRowHeight="18"/>
  <cols>
    <col min="3" max="3" width="12.140625" customWidth="1"/>
    <col min="4" max="4" width="14.28515625" customWidth="1"/>
    <col min="13" max="13" width="16.85546875" customWidth="1"/>
  </cols>
  <sheetData>
    <row r="3" spans="1:12">
      <c r="B3" s="1" t="s">
        <v>0</v>
      </c>
      <c r="C3" s="2"/>
      <c r="D3" s="2"/>
      <c r="E3" s="2"/>
      <c r="F3" s="2"/>
      <c r="G3" s="2"/>
      <c r="H3" s="3"/>
    </row>
    <row r="4" spans="1:12">
      <c r="B4" s="13">
        <v>1</v>
      </c>
      <c r="C4" s="14">
        <v>2</v>
      </c>
      <c r="D4" s="14">
        <v>3</v>
      </c>
      <c r="E4" s="14">
        <v>4</v>
      </c>
      <c r="F4" s="14">
        <v>5</v>
      </c>
      <c r="G4" s="14">
        <v>6</v>
      </c>
      <c r="H4" s="15">
        <v>7</v>
      </c>
    </row>
    <row r="5" spans="1:12">
      <c r="A5" s="5" t="s">
        <v>1</v>
      </c>
      <c r="B5" s="7">
        <v>4300</v>
      </c>
      <c r="C5" s="7">
        <v>3700</v>
      </c>
      <c r="D5" s="7">
        <v>3900</v>
      </c>
      <c r="E5" s="7">
        <v>4000</v>
      </c>
      <c r="F5" s="7">
        <v>4700</v>
      </c>
      <c r="G5" s="7">
        <v>4800</v>
      </c>
      <c r="H5" s="7">
        <v>3600</v>
      </c>
    </row>
    <row r="6" spans="1:12">
      <c r="B6" s="8" t="s">
        <v>3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8" t="s">
        <v>3</v>
      </c>
    </row>
    <row r="7" spans="1:12">
      <c r="A7" s="5" t="s">
        <v>22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</row>
    <row r="9" spans="1:12">
      <c r="A9" s="7" t="s">
        <v>4</v>
      </c>
      <c r="D9" s="7" t="s">
        <v>9</v>
      </c>
      <c r="F9" s="10" t="s">
        <v>20</v>
      </c>
      <c r="G9" s="11"/>
      <c r="H9" s="11"/>
      <c r="I9" s="11"/>
      <c r="J9" s="11"/>
      <c r="K9" s="11"/>
      <c r="L9" s="12"/>
    </row>
    <row r="10" spans="1:12">
      <c r="A10" s="4" t="s">
        <v>5</v>
      </c>
      <c r="B10" s="4" t="s">
        <v>6</v>
      </c>
      <c r="C10" s="4" t="s">
        <v>7</v>
      </c>
      <c r="D10" s="4" t="s">
        <v>8</v>
      </c>
      <c r="E10" s="6"/>
      <c r="F10" s="4">
        <v>1</v>
      </c>
      <c r="G10" s="4">
        <v>2</v>
      </c>
      <c r="H10" s="4">
        <v>3</v>
      </c>
      <c r="I10" s="4">
        <v>4</v>
      </c>
      <c r="J10" s="4">
        <v>5</v>
      </c>
      <c r="K10" s="4">
        <v>6</v>
      </c>
      <c r="L10" s="4">
        <v>7</v>
      </c>
    </row>
    <row r="11" spans="1:12">
      <c r="A11" s="4" t="s">
        <v>10</v>
      </c>
      <c r="B11" s="4">
        <v>800</v>
      </c>
      <c r="C11" s="4" t="s">
        <v>17</v>
      </c>
      <c r="D11" s="4">
        <v>2100</v>
      </c>
      <c r="E11" s="6" t="s">
        <v>14</v>
      </c>
      <c r="F11" s="4"/>
      <c r="G11" s="4"/>
      <c r="H11" s="4"/>
      <c r="I11" s="4"/>
      <c r="J11" s="4"/>
      <c r="K11" s="4"/>
      <c r="L11" s="4"/>
    </row>
    <row r="12" spans="1:12">
      <c r="A12" s="4" t="s">
        <v>11</v>
      </c>
      <c r="B12" s="4">
        <v>1000</v>
      </c>
      <c r="C12" s="4" t="s">
        <v>18</v>
      </c>
      <c r="D12" s="4">
        <v>1900</v>
      </c>
      <c r="E12" s="6" t="s">
        <v>14</v>
      </c>
      <c r="F12" s="4"/>
      <c r="G12" s="4"/>
      <c r="H12" s="4"/>
      <c r="I12" s="4"/>
      <c r="J12" s="4"/>
      <c r="K12" s="4"/>
      <c r="L12" s="4"/>
    </row>
    <row r="13" spans="1:12">
      <c r="A13" s="4" t="s">
        <v>12</v>
      </c>
      <c r="B13" s="4">
        <v>700</v>
      </c>
      <c r="C13" s="4" t="s">
        <v>19</v>
      </c>
      <c r="D13" s="4">
        <v>3000</v>
      </c>
      <c r="E13" s="6" t="s">
        <v>14</v>
      </c>
      <c r="F13" s="4"/>
      <c r="G13" s="4"/>
      <c r="H13" s="4"/>
      <c r="I13" s="4"/>
      <c r="J13" s="4"/>
      <c r="K13" s="4"/>
      <c r="L13" s="4"/>
    </row>
    <row r="15" spans="1:12">
      <c r="F15" s="10" t="s">
        <v>24</v>
      </c>
      <c r="G15" s="11"/>
      <c r="H15" s="11"/>
      <c r="I15" s="11"/>
      <c r="J15" s="11"/>
      <c r="K15" s="11"/>
      <c r="L15" s="12"/>
    </row>
    <row r="16" spans="1:12">
      <c r="F16" s="4">
        <v>1</v>
      </c>
      <c r="G16" s="4">
        <v>2</v>
      </c>
      <c r="H16" s="4">
        <v>3</v>
      </c>
      <c r="I16" s="4">
        <v>4</v>
      </c>
      <c r="J16" s="4">
        <v>5</v>
      </c>
      <c r="K16" s="4">
        <v>6</v>
      </c>
      <c r="L16" s="4">
        <v>7</v>
      </c>
    </row>
    <row r="17" spans="1:13"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</row>
    <row r="18" spans="1:13">
      <c r="A18" s="16"/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</row>
    <row r="19" spans="1:13">
      <c r="A19" s="16"/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</row>
    <row r="20" spans="1:13">
      <c r="F20" s="13"/>
      <c r="G20" s="14"/>
      <c r="H20" s="14"/>
      <c r="I20" s="14"/>
      <c r="J20" s="14"/>
      <c r="K20" s="14"/>
      <c r="L20" s="15"/>
    </row>
    <row r="21" spans="1:13">
      <c r="C21" s="7" t="s">
        <v>4</v>
      </c>
      <c r="F21" s="10" t="s">
        <v>21</v>
      </c>
      <c r="G21" s="11"/>
      <c r="H21" s="11"/>
      <c r="I21" s="11"/>
      <c r="J21" s="11"/>
      <c r="K21" s="11"/>
      <c r="L21" s="12"/>
    </row>
    <row r="22" spans="1:13">
      <c r="C22" s="4" t="s">
        <v>5</v>
      </c>
      <c r="D22" s="4" t="s">
        <v>6</v>
      </c>
      <c r="E22" s="4" t="s">
        <v>7</v>
      </c>
      <c r="F22" s="4">
        <v>1</v>
      </c>
      <c r="G22" s="4">
        <v>2</v>
      </c>
      <c r="H22" s="4">
        <v>3</v>
      </c>
      <c r="I22" s="4">
        <v>4</v>
      </c>
      <c r="J22" s="4">
        <v>5</v>
      </c>
      <c r="K22" s="4">
        <v>6</v>
      </c>
      <c r="L22" s="4">
        <v>7</v>
      </c>
      <c r="M22" s="4" t="s">
        <v>25</v>
      </c>
    </row>
    <row r="23" spans="1:13">
      <c r="C23" s="4" t="s">
        <v>10</v>
      </c>
      <c r="D23" s="4">
        <v>800</v>
      </c>
      <c r="E23" s="4" t="s">
        <v>17</v>
      </c>
      <c r="F23" s="4">
        <f>F17*(1000+5*F11)</f>
        <v>0</v>
      </c>
      <c r="G23" s="4">
        <f t="shared" ref="G23:L23" si="0">G17*(1000+5*G11)</f>
        <v>0</v>
      </c>
      <c r="H23" s="4">
        <f t="shared" si="0"/>
        <v>0</v>
      </c>
      <c r="I23" s="4">
        <f t="shared" si="0"/>
        <v>0</v>
      </c>
      <c r="J23" s="4">
        <f t="shared" si="0"/>
        <v>0</v>
      </c>
      <c r="K23" s="4">
        <f t="shared" si="0"/>
        <v>0</v>
      </c>
      <c r="L23" s="4">
        <f t="shared" si="0"/>
        <v>0</v>
      </c>
      <c r="M23" s="4">
        <f>SUM(F23:L23)</f>
        <v>0</v>
      </c>
    </row>
    <row r="24" spans="1:13">
      <c r="C24" s="4" t="s">
        <v>11</v>
      </c>
      <c r="D24" s="4">
        <v>1000</v>
      </c>
      <c r="E24" s="4" t="s">
        <v>18</v>
      </c>
      <c r="F24" s="4">
        <f>F18*(1300+4*F12)</f>
        <v>0</v>
      </c>
      <c r="G24" s="4">
        <f t="shared" ref="G24:L24" si="1">G18*(1300+4*G12)</f>
        <v>0</v>
      </c>
      <c r="H24" s="4">
        <f t="shared" si="1"/>
        <v>0</v>
      </c>
      <c r="I24" s="4">
        <f t="shared" si="1"/>
        <v>0</v>
      </c>
      <c r="J24" s="4">
        <f t="shared" si="1"/>
        <v>0</v>
      </c>
      <c r="K24" s="4">
        <f t="shared" si="1"/>
        <v>0</v>
      </c>
      <c r="L24" s="4">
        <f t="shared" si="1"/>
        <v>0</v>
      </c>
      <c r="M24" s="4">
        <f t="shared" ref="M24:M25" si="2">SUM(F24:L24)</f>
        <v>0</v>
      </c>
    </row>
    <row r="25" spans="1:13">
      <c r="C25" s="4" t="s">
        <v>12</v>
      </c>
      <c r="D25" s="4">
        <v>700</v>
      </c>
      <c r="E25" s="4" t="s">
        <v>19</v>
      </c>
      <c r="F25" s="4">
        <f>F19*(950+7*F13)</f>
        <v>0</v>
      </c>
      <c r="G25" s="4">
        <f t="shared" ref="G25:L25" si="3">G19*(950+7*G13)</f>
        <v>0</v>
      </c>
      <c r="H25" s="4">
        <f t="shared" si="3"/>
        <v>0</v>
      </c>
      <c r="I25" s="4">
        <f t="shared" si="3"/>
        <v>0</v>
      </c>
      <c r="J25" s="4">
        <f t="shared" si="3"/>
        <v>0</v>
      </c>
      <c r="K25" s="4">
        <f t="shared" si="3"/>
        <v>0</v>
      </c>
      <c r="L25" s="4">
        <f t="shared" si="3"/>
        <v>0</v>
      </c>
      <c r="M25" s="4">
        <f t="shared" si="2"/>
        <v>0</v>
      </c>
    </row>
    <row r="27" spans="1:13">
      <c r="A27" s="4" t="s">
        <v>16</v>
      </c>
    </row>
    <row r="28" spans="1:13">
      <c r="A28" s="4">
        <f>SUM(M23:M25)</f>
        <v>0</v>
      </c>
    </row>
  </sheetData>
  <mergeCells count="4">
    <mergeCell ref="B3:H3"/>
    <mergeCell ref="F9:L9"/>
    <mergeCell ref="F21:L21"/>
    <mergeCell ref="F15:L1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해답 보고서 1</vt:lpstr>
      <vt:lpstr>모집단 보고서 1</vt:lpstr>
      <vt:lpstr>Sheet1</vt:lpstr>
      <vt:lpstr>가동변수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 진우</dc:creator>
  <cp:lastModifiedBy>장 진우</cp:lastModifiedBy>
  <dcterms:created xsi:type="dcterms:W3CDTF">2021-04-02T06:36:33Z</dcterms:created>
  <dcterms:modified xsi:type="dcterms:W3CDTF">2021-04-02T07:35:00Z</dcterms:modified>
</cp:coreProperties>
</file>