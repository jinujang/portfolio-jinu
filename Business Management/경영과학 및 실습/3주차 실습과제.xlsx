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드라이브/1.실행/대학생활/2학년 1학기/ㄴ 경영과학1 및 실습/"/>
    </mc:Choice>
  </mc:AlternateContent>
  <xr:revisionPtr revIDLastSave="0" documentId="13_ncr:1_{983B17E7-59E5-8E41-8A11-71B4941A1E95}" xr6:coauthVersionLast="45" xr6:coauthVersionMax="45" xr10:uidLastSave="{00000000-0000-0000-0000-000000000000}"/>
  <bookViews>
    <workbookView xWindow="240" yWindow="780" windowWidth="22700" windowHeight="14760" activeTab="6" xr2:uid="{60840BED-69D7-174F-BDE4-AB079C1FDE1F}"/>
  </bookViews>
  <sheets>
    <sheet name="1.&lt;스프레드시트 모형&gt;" sheetId="1" r:id="rId1"/>
    <sheet name="해답 보고서 2" sheetId="5" r:id="rId2"/>
    <sheet name="2.&lt;민감도 분석&gt;" sheetId="2" r:id="rId3"/>
    <sheet name="민감도 보고서 2" sheetId="10" r:id="rId4"/>
    <sheet name="실습문제2" sheetId="11" r:id="rId5"/>
    <sheet name="해답 보고서 1" sheetId="12" r:id="rId6"/>
    <sheet name="민감도 보고서 1" sheetId="13" r:id="rId7"/>
  </sheets>
  <definedNames>
    <definedName name="solver_adj" localSheetId="0" hidden="1">'1.&lt;스프레드시트 모형&gt;'!$B$14:$D$14</definedName>
    <definedName name="solver_adj" localSheetId="2" hidden="1">'2.&lt;민감도 분석&gt;'!$B$14:$D$14</definedName>
    <definedName name="solver_adj" localSheetId="4" hidden="1">실습문제2!$B$14:$D$14</definedName>
    <definedName name="solver_cvg" localSheetId="0" hidden="1">0.0001</definedName>
    <definedName name="solver_cvg" localSheetId="2" hidden="1">0.0001</definedName>
    <definedName name="solver_cvg" localSheetId="4" hidden="1">0.0001</definedName>
    <definedName name="solver_drv" localSheetId="0" hidden="1">1</definedName>
    <definedName name="solver_drv" localSheetId="2" hidden="1">1</definedName>
    <definedName name="solver_drv" localSheetId="4" hidden="1">1</definedName>
    <definedName name="solver_eng" localSheetId="0" hidden="1">2</definedName>
    <definedName name="solver_eng" localSheetId="2" hidden="1">2</definedName>
    <definedName name="solver_eng" localSheetId="4" hidden="1">2</definedName>
    <definedName name="solver_itr" localSheetId="0" hidden="1">2147483647</definedName>
    <definedName name="solver_itr" localSheetId="2" hidden="1">2147483647</definedName>
    <definedName name="solver_itr" localSheetId="4" hidden="1">2147483647</definedName>
    <definedName name="solver_lhs1" localSheetId="0" hidden="1">'1.&lt;스프레드시트 모형&gt;'!$B$19</definedName>
    <definedName name="solver_lhs1" localSheetId="2" hidden="1">'2.&lt;민감도 분석&gt;'!$B$19</definedName>
    <definedName name="solver_lhs1" localSheetId="4" hidden="1">실습문제2!$B$19</definedName>
    <definedName name="solver_lhs2" localSheetId="0" hidden="1">'1.&lt;스프레드시트 모형&gt;'!$B$20</definedName>
    <definedName name="solver_lhs2" localSheetId="2" hidden="1">'2.&lt;민감도 분석&gt;'!$B$20</definedName>
    <definedName name="solver_lhs2" localSheetId="4" hidden="1">실습문제2!$B$20</definedName>
    <definedName name="solver_lhs3" localSheetId="0" hidden="1">'1.&lt;스프레드시트 모형&gt;'!$B$21</definedName>
    <definedName name="solver_lhs3" localSheetId="2" hidden="1">'2.&lt;민감도 분석&gt;'!$B$21</definedName>
    <definedName name="solver_lhs3" localSheetId="4" hidden="1">실습문제2!$B$21</definedName>
    <definedName name="solver_lhs4" localSheetId="0" hidden="1">'1.&lt;스프레드시트 모형&gt;'!$B$22</definedName>
    <definedName name="solver_lhs4" localSheetId="2" hidden="1">'2.&lt;민감도 분석&gt;'!$B$22</definedName>
    <definedName name="solver_lhs4" localSheetId="4" hidden="1">실습문제2!$B$22</definedName>
    <definedName name="solver_lin" localSheetId="0" hidden="1">1</definedName>
    <definedName name="solver_lin" localSheetId="2" hidden="1">1</definedName>
    <definedName name="solver_lin" localSheetId="4" hidden="1">1</definedName>
    <definedName name="solver_mip" localSheetId="0" hidden="1">2147483647</definedName>
    <definedName name="solver_mip" localSheetId="2" hidden="1">2147483647</definedName>
    <definedName name="solver_mip" localSheetId="4" hidden="1">2147483647</definedName>
    <definedName name="solver_mni" localSheetId="0" hidden="1">30</definedName>
    <definedName name="solver_mni" localSheetId="2" hidden="1">30</definedName>
    <definedName name="solver_mni" localSheetId="4" hidden="1">30</definedName>
    <definedName name="solver_mrt" localSheetId="0" hidden="1">0.075</definedName>
    <definedName name="solver_mrt" localSheetId="2" hidden="1">0.075</definedName>
    <definedName name="solver_mrt" localSheetId="4" hidden="1">0.075</definedName>
    <definedName name="solver_msl" localSheetId="0" hidden="1">2</definedName>
    <definedName name="solver_msl" localSheetId="2" hidden="1">2</definedName>
    <definedName name="solver_msl" localSheetId="4" hidden="1">2</definedName>
    <definedName name="solver_neg" localSheetId="0" hidden="1">1</definedName>
    <definedName name="solver_neg" localSheetId="2" hidden="1">1</definedName>
    <definedName name="solver_neg" localSheetId="4" hidden="1">1</definedName>
    <definedName name="solver_nod" localSheetId="0" hidden="1">2147483647</definedName>
    <definedName name="solver_nod" localSheetId="2" hidden="1">2147483647</definedName>
    <definedName name="solver_nod" localSheetId="4" hidden="1">2147483647</definedName>
    <definedName name="solver_num" localSheetId="0" hidden="1">4</definedName>
    <definedName name="solver_num" localSheetId="2" hidden="1">4</definedName>
    <definedName name="solver_num" localSheetId="4" hidden="1">4</definedName>
    <definedName name="solver_opt" localSheetId="0" hidden="1">'1.&lt;스프레드시트 모형&gt;'!$B$17</definedName>
    <definedName name="solver_opt" localSheetId="2" hidden="1">'2.&lt;민감도 분석&gt;'!$B$17</definedName>
    <definedName name="solver_opt" localSheetId="4" hidden="1">실습문제2!$B$17</definedName>
    <definedName name="solver_pre" localSheetId="0" hidden="1">0.000001</definedName>
    <definedName name="solver_pre" localSheetId="2" hidden="1">0.000001</definedName>
    <definedName name="solver_pre" localSheetId="4" hidden="1">0.000001</definedName>
    <definedName name="solver_rbv" localSheetId="0" hidden="1">1</definedName>
    <definedName name="solver_rbv" localSheetId="2" hidden="1">1</definedName>
    <definedName name="solver_rbv" localSheetId="4" hidden="1">1</definedName>
    <definedName name="solver_rel1" localSheetId="0" hidden="1">1</definedName>
    <definedName name="solver_rel1" localSheetId="2" hidden="1">1</definedName>
    <definedName name="solver_rel1" localSheetId="4" hidden="1">1</definedName>
    <definedName name="solver_rel2" localSheetId="0" hidden="1">1</definedName>
    <definedName name="solver_rel2" localSheetId="2" hidden="1">1</definedName>
    <definedName name="solver_rel2" localSheetId="4" hidden="1">1</definedName>
    <definedName name="solver_rel3" localSheetId="0" hidden="1">1</definedName>
    <definedName name="solver_rel3" localSheetId="2" hidden="1">1</definedName>
    <definedName name="solver_rel3" localSheetId="4" hidden="1">1</definedName>
    <definedName name="solver_rel4" localSheetId="0" hidden="1">1</definedName>
    <definedName name="solver_rel4" localSheetId="2" hidden="1">1</definedName>
    <definedName name="solver_rel4" localSheetId="4" hidden="1">1</definedName>
    <definedName name="solver_rhs1" localSheetId="0" hidden="1">'1.&lt;스프레드시트 모형&gt;'!$D$19</definedName>
    <definedName name="solver_rhs1" localSheetId="2" hidden="1">'2.&lt;민감도 분석&gt;'!$D$19</definedName>
    <definedName name="solver_rhs1" localSheetId="4" hidden="1">실습문제2!$D$19</definedName>
    <definedName name="solver_rhs2" localSheetId="0" hidden="1">'1.&lt;스프레드시트 모형&gt;'!$D$20</definedName>
    <definedName name="solver_rhs2" localSheetId="2" hidden="1">'2.&lt;민감도 분석&gt;'!$D$20</definedName>
    <definedName name="solver_rhs2" localSheetId="4" hidden="1">실습문제2!$D$20</definedName>
    <definedName name="solver_rhs3" localSheetId="0" hidden="1">'1.&lt;스프레드시트 모형&gt;'!$D$21</definedName>
    <definedName name="solver_rhs3" localSheetId="2" hidden="1">'2.&lt;민감도 분석&gt;'!$D$21</definedName>
    <definedName name="solver_rhs3" localSheetId="4" hidden="1">실습문제2!$D$21</definedName>
    <definedName name="solver_rhs4" localSheetId="0" hidden="1">'1.&lt;스프레드시트 모형&gt;'!$D$22</definedName>
    <definedName name="solver_rhs4" localSheetId="2" hidden="1">'2.&lt;민감도 분석&gt;'!$D$22</definedName>
    <definedName name="solver_rhs4" localSheetId="4" hidden="1">실습문제2!$D$22</definedName>
    <definedName name="solver_rlx" localSheetId="0" hidden="1">2</definedName>
    <definedName name="solver_rlx" localSheetId="2" hidden="1">2</definedName>
    <definedName name="solver_rlx" localSheetId="4" hidden="1">2</definedName>
    <definedName name="solver_rsd" localSheetId="0" hidden="1">0</definedName>
    <definedName name="solver_rsd" localSheetId="2" hidden="1">0</definedName>
    <definedName name="solver_rsd" localSheetId="4" hidden="1">0</definedName>
    <definedName name="solver_scl" localSheetId="0" hidden="1">1</definedName>
    <definedName name="solver_scl" localSheetId="2" hidden="1">1</definedName>
    <definedName name="solver_scl" localSheetId="4" hidden="1">1</definedName>
    <definedName name="solver_sho" localSheetId="0" hidden="1">2</definedName>
    <definedName name="solver_sho" localSheetId="2" hidden="1">2</definedName>
    <definedName name="solver_sho" localSheetId="4" hidden="1">2</definedName>
    <definedName name="solver_ssz" localSheetId="0" hidden="1">100</definedName>
    <definedName name="solver_ssz" localSheetId="2" hidden="1">100</definedName>
    <definedName name="solver_ssz" localSheetId="4" hidden="1">100</definedName>
    <definedName name="solver_tim" localSheetId="0" hidden="1">2147483647</definedName>
    <definedName name="solver_tim" localSheetId="2" hidden="1">2147483647</definedName>
    <definedName name="solver_tim" localSheetId="4" hidden="1">2147483647</definedName>
    <definedName name="solver_tol" localSheetId="0" hidden="1">0.01</definedName>
    <definedName name="solver_tol" localSheetId="2" hidden="1">0.01</definedName>
    <definedName name="solver_tol" localSheetId="4" hidden="1">0.01</definedName>
    <definedName name="solver_typ" localSheetId="0" hidden="1">1</definedName>
    <definedName name="solver_typ" localSheetId="2" hidden="1">1</definedName>
    <definedName name="solver_typ" localSheetId="4" hidden="1">1</definedName>
    <definedName name="solver_val" localSheetId="0" hidden="1">0</definedName>
    <definedName name="solver_val" localSheetId="2" hidden="1">0</definedName>
    <definedName name="solver_val" localSheetId="4" hidden="1">0</definedName>
    <definedName name="solver_ver" localSheetId="0" hidden="1">2</definedName>
    <definedName name="solver_ver" localSheetId="2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2" i="11" l="1"/>
  <c r="V21" i="11"/>
  <c r="V20" i="11"/>
  <c r="V19" i="11"/>
  <c r="V17" i="11"/>
  <c r="Q22" i="11"/>
  <c r="Q21" i="11"/>
  <c r="Q20" i="11"/>
  <c r="Q19" i="11"/>
  <c r="Q17" i="11"/>
  <c r="L22" i="11"/>
  <c r="L21" i="11"/>
  <c r="L20" i="11"/>
  <c r="L19" i="11"/>
  <c r="L17" i="11"/>
  <c r="G19" i="11"/>
  <c r="G17" i="11"/>
  <c r="G22" i="11"/>
  <c r="G21" i="11"/>
  <c r="G20" i="11"/>
  <c r="B17" i="11"/>
  <c r="B17" i="2"/>
  <c r="B22" i="11"/>
  <c r="B21" i="11"/>
  <c r="B20" i="11"/>
  <c r="B19" i="11"/>
  <c r="Q22" i="2" l="1"/>
  <c r="Q21" i="2"/>
  <c r="Q20" i="2"/>
  <c r="Q19" i="2"/>
  <c r="Q17" i="2"/>
  <c r="G22" i="2"/>
  <c r="G21" i="2"/>
  <c r="G20" i="2"/>
  <c r="G19" i="2"/>
  <c r="G17" i="2"/>
  <c r="L22" i="2"/>
  <c r="L21" i="2"/>
  <c r="L20" i="2"/>
  <c r="L19" i="2"/>
  <c r="L17" i="2"/>
  <c r="B21" i="1"/>
  <c r="B20" i="1"/>
  <c r="B19" i="1"/>
  <c r="B17" i="1"/>
  <c r="B22" i="1"/>
  <c r="B22" i="2"/>
  <c r="B21" i="2"/>
  <c r="B20" i="2"/>
  <c r="B19" i="2"/>
</calcChain>
</file>

<file path=xl/sharedStrings.xml><?xml version="1.0" encoding="utf-8"?>
<sst xmlns="http://schemas.openxmlformats.org/spreadsheetml/2006/main" count="517" uniqueCount="138">
  <si>
    <t>입력자료</t>
    <phoneticPr fontId="2" type="noConversion"/>
  </si>
  <si>
    <t>공정</t>
    <phoneticPr fontId="2" type="noConversion"/>
  </si>
  <si>
    <t>유모차</t>
    <phoneticPr fontId="2" type="noConversion"/>
  </si>
  <si>
    <t>보행기</t>
    <phoneticPr fontId="2" type="noConversion"/>
  </si>
  <si>
    <t>절단공정(기계1)</t>
    <phoneticPr fontId="2" type="noConversion"/>
  </si>
  <si>
    <t>용접공정(기계2)</t>
    <phoneticPr fontId="2" type="noConversion"/>
  </si>
  <si>
    <t>조립공정(기계3)</t>
    <phoneticPr fontId="2" type="noConversion"/>
  </si>
  <si>
    <t>판매이익</t>
    <phoneticPr fontId="2" type="noConversion"/>
  </si>
  <si>
    <t>변수</t>
    <phoneticPr fontId="2" type="noConversion"/>
  </si>
  <si>
    <t>유모차 생산</t>
    <phoneticPr fontId="2" type="noConversion"/>
  </si>
  <si>
    <t>보행기 생산</t>
    <phoneticPr fontId="2" type="noConversion"/>
  </si>
  <si>
    <t>모형</t>
    <phoneticPr fontId="2" type="noConversion"/>
  </si>
  <si>
    <t>총 판매이익</t>
    <phoneticPr fontId="2" type="noConversion"/>
  </si>
  <si>
    <t>절단공정 사용시간</t>
    <phoneticPr fontId="2" type="noConversion"/>
  </si>
  <si>
    <t>&lt;=</t>
    <phoneticPr fontId="2" type="noConversion"/>
  </si>
  <si>
    <t>용접공정 사용시간</t>
    <phoneticPr fontId="2" type="noConversion"/>
  </si>
  <si>
    <t>조립공정 사용시간</t>
    <phoneticPr fontId="2" type="noConversion"/>
  </si>
  <si>
    <t>(주)제품배합 문제의 확장 - 자전거 추가</t>
    <phoneticPr fontId="2" type="noConversion"/>
  </si>
  <si>
    <t>기계작업시간</t>
    <phoneticPr fontId="2" type="noConversion"/>
  </si>
  <si>
    <t>자전거</t>
    <phoneticPr fontId="2" type="noConversion"/>
  </si>
  <si>
    <t>자전거 생산</t>
    <phoneticPr fontId="2" type="noConversion"/>
  </si>
  <si>
    <t>생산대수</t>
    <phoneticPr fontId="2" type="noConversion"/>
  </si>
  <si>
    <t>(만원)</t>
    <phoneticPr fontId="2" type="noConversion"/>
  </si>
  <si>
    <t>Microsoft Excel 16.35 해답 보고서</t>
  </si>
  <si>
    <t>결과: 해를 찾았습니다. 모든 제한 조건 및 최적화 조건이 만족되었습니다.</t>
  </si>
  <si>
    <t>해 찾기 엔진</t>
  </si>
  <si>
    <t>엔진: 단순 LP</t>
  </si>
  <si>
    <t>해 찾기 옵션</t>
  </si>
  <si>
    <t>최대 부분 문제 제한 없음, 최대 정수 해 제한 없음, 정수 허용 한도 1%, 음수 아닌 것으로 가정</t>
  </si>
  <si>
    <t>목표 셀 (최대값)</t>
  </si>
  <si>
    <t>셀</t>
  </si>
  <si>
    <t>이름</t>
  </si>
  <si>
    <t>계산 전의 값</t>
  </si>
  <si>
    <t>계산 값</t>
  </si>
  <si>
    <t>변수 셀</t>
  </si>
  <si>
    <t>정수</t>
  </si>
  <si>
    <t>제한 조건</t>
  </si>
  <si>
    <t>셀의 값</t>
  </si>
  <si>
    <t>수식</t>
  </si>
  <si>
    <t>상태</t>
  </si>
  <si>
    <t>조건과의 차</t>
  </si>
  <si>
    <t>$B$17</t>
  </si>
  <si>
    <t>총 판매이익 유모차 생산</t>
  </si>
  <si>
    <t>$B$14</t>
  </si>
  <si>
    <t>생산대수 유모차 생산</t>
  </si>
  <si>
    <t>Contin</t>
  </si>
  <si>
    <t>$C$14</t>
  </si>
  <si>
    <t>생산대수 보행기 생산</t>
  </si>
  <si>
    <t>$D$14</t>
  </si>
  <si>
    <t>생산대수 자전거 생산</t>
  </si>
  <si>
    <t>$B$19</t>
  </si>
  <si>
    <t>절단공정 사용시간 유모차 생산</t>
  </si>
  <si>
    <t>$B$19&lt;=$D$19</t>
  </si>
  <si>
    <t>만족</t>
  </si>
  <si>
    <t>$B$20</t>
  </si>
  <si>
    <t>용접공정 사용시간 유모차 생산</t>
  </si>
  <si>
    <t>$B$20&lt;=$D$20</t>
  </si>
  <si>
    <t>$B$21</t>
  </si>
  <si>
    <t>조립공정 사용시간 유모차 생산</t>
  </si>
  <si>
    <t>$B$21&lt;=$D$21</t>
  </si>
  <si>
    <t>부분적 만족</t>
  </si>
  <si>
    <t>$B$22</t>
  </si>
  <si>
    <t>보행기 생산 유모차 생산</t>
  </si>
  <si>
    <t>$B$22&lt;=$D$22</t>
  </si>
  <si>
    <t>$B$14:$D$14</t>
  </si>
  <si>
    <t>반복 횟수: 5 부분 문제: 0</t>
  </si>
  <si>
    <t>최대 시간 제한 없음, 반복 횟수 제한 없음, Precision 0.000001, 단위 자동 설정 사용</t>
  </si>
  <si>
    <t>워크시트 이름: [통합 문서2]1.&lt;스프레드시트 모형&gt;</t>
  </si>
  <si>
    <t>보고서 작성일: 2020. 3. 31. 9:08:15 오후</t>
  </si>
  <si>
    <t>해 찾는 시간: 94496945.287 초.</t>
  </si>
  <si>
    <t>(1)&lt;목표셀 계수&gt;</t>
    <phoneticPr fontId="2" type="noConversion"/>
  </si>
  <si>
    <t>43만원 이상일때 생산을 한다</t>
    <phoneticPr fontId="2" type="noConversion"/>
  </si>
  <si>
    <t>(2)&lt;목표셀 계수&gt;</t>
    <phoneticPr fontId="2" type="noConversion"/>
  </si>
  <si>
    <t>120만원만큼 감소한다</t>
    <phoneticPr fontId="2" type="noConversion"/>
  </si>
  <si>
    <t>생산계획은 유지된다</t>
    <phoneticPr fontId="2" type="noConversion"/>
  </si>
  <si>
    <t>(3)&lt;</t>
    <phoneticPr fontId="2" type="noConversion"/>
  </si>
  <si>
    <t>생산계획은 그대로 유지된다</t>
    <phoneticPr fontId="2" type="noConversion"/>
  </si>
  <si>
    <t>120만원만큼 증가한다</t>
    <phoneticPr fontId="2" type="noConversion"/>
  </si>
  <si>
    <t>Microsoft Excel 16.35 민감도 보고서</t>
  </si>
  <si>
    <t>계산</t>
  </si>
  <si>
    <t>값</t>
  </si>
  <si>
    <t>한계</t>
  </si>
  <si>
    <t>비용</t>
  </si>
  <si>
    <t>목표 셀</t>
  </si>
  <si>
    <t>계수</t>
  </si>
  <si>
    <t>허용 가능</t>
  </si>
  <si>
    <t>증가치</t>
  </si>
  <si>
    <t>감소치</t>
  </si>
  <si>
    <t>잠재</t>
  </si>
  <si>
    <t>가격</t>
  </si>
  <si>
    <t>우변</t>
  </si>
  <si>
    <t>워크시트 이름: [3주차 실습과제.xlsx]2.&lt;민감도 분석&gt;</t>
  </si>
  <si>
    <t>보고서 작성일: 2020. 4. 1. 12:28:36 오후</t>
  </si>
  <si>
    <t>(4)&lt;변수셀&gt;</t>
    <phoneticPr fontId="2" type="noConversion"/>
  </si>
  <si>
    <t>(5)&lt;변수셀&gt;</t>
    <phoneticPr fontId="2" type="noConversion"/>
  </si>
  <si>
    <t>(6)&lt;변수셀&gt;</t>
    <phoneticPr fontId="2" type="noConversion"/>
  </si>
  <si>
    <t>4만큼 감소</t>
    <phoneticPr fontId="2" type="noConversion"/>
  </si>
  <si>
    <t>(한계비용) 12.67 만큼 감소</t>
    <phoneticPr fontId="2" type="noConversion"/>
  </si>
  <si>
    <t>(잠재가격) 4만큼 증가</t>
    <phoneticPr fontId="2" type="noConversion"/>
  </si>
  <si>
    <t>(7)우변상수</t>
    <phoneticPr fontId="2" type="noConversion"/>
  </si>
  <si>
    <t>(8)우변상수</t>
    <phoneticPr fontId="2" type="noConversion"/>
  </si>
  <si>
    <t>(9)우변상수</t>
    <phoneticPr fontId="2" type="noConversion"/>
  </si>
  <si>
    <t>(10)우변상수</t>
    <phoneticPr fontId="2" type="noConversion"/>
  </si>
  <si>
    <t>20시간</t>
    <phoneticPr fontId="2" type="noConversion"/>
  </si>
  <si>
    <t>3.민감도보고서</t>
    <phoneticPr fontId="2" type="noConversion"/>
  </si>
  <si>
    <t>4~9 문제에서 답할수있음</t>
    <phoneticPr fontId="2" type="noConversion"/>
  </si>
  <si>
    <t>워크시트 이름: [3주차 실습과제.xlsx]Sheet1</t>
  </si>
  <si>
    <t>보고서 작성일: 2020. 4. 3. 9:56:32 오후</t>
  </si>
  <si>
    <t>해 찾는 시간: 25777499.179 초.</t>
  </si>
  <si>
    <t>반복 횟수: 4 부분 문제: 0</t>
  </si>
  <si>
    <t>보고서 작성일: 2020. 4. 3. 9:56:33 오후</t>
  </si>
  <si>
    <t>&lt;1&gt;목표셀계수</t>
    <phoneticPr fontId="2" type="noConversion"/>
  </si>
  <si>
    <t>30.66만 이상</t>
    <phoneticPr fontId="2" type="noConversion"/>
  </si>
  <si>
    <t>&lt;2&gt;목표셀계수</t>
    <phoneticPr fontId="2" type="noConversion"/>
  </si>
  <si>
    <t>최적생산계획이 변한다</t>
    <phoneticPr fontId="2" type="noConversion"/>
  </si>
  <si>
    <t>약38만 감소</t>
  </si>
  <si>
    <t>유모차의 판매이익 변화</t>
    <phoneticPr fontId="2" type="noConversion"/>
  </si>
  <si>
    <t>보행기의 판매이익감소</t>
    <phoneticPr fontId="2" type="noConversion"/>
  </si>
  <si>
    <t>자전거 판매이익 증가</t>
    <phoneticPr fontId="2" type="noConversion"/>
  </si>
  <si>
    <t>약 70만 증가</t>
    <phoneticPr fontId="2" type="noConversion"/>
  </si>
  <si>
    <t>변한다</t>
    <phoneticPr fontId="2" type="noConversion"/>
  </si>
  <si>
    <t>&lt;3&gt;목표셀계수</t>
    <phoneticPr fontId="2" type="noConversion"/>
  </si>
  <si>
    <t>약 0.66 증가</t>
    <phoneticPr fontId="2" type="noConversion"/>
  </si>
  <si>
    <t>약0.66감소</t>
    <phoneticPr fontId="2" type="noConversion"/>
  </si>
  <si>
    <t>8&lt;우변상수&gt;</t>
    <phoneticPr fontId="2" type="noConversion"/>
  </si>
  <si>
    <t>약 53.33 증가</t>
    <phoneticPr fontId="2" type="noConversion"/>
  </si>
  <si>
    <t>9)</t>
    <phoneticPr fontId="2" type="noConversion"/>
  </si>
  <si>
    <t>5)</t>
    <phoneticPr fontId="2" type="noConversion"/>
  </si>
  <si>
    <t>6)</t>
    <phoneticPr fontId="2" type="noConversion"/>
  </si>
  <si>
    <t>7)</t>
    <phoneticPr fontId="2" type="noConversion"/>
  </si>
  <si>
    <t>4)&lt;변수셀&gt;</t>
    <phoneticPr fontId="2" type="noConversion"/>
  </si>
  <si>
    <t>약 83.33 증가</t>
    <phoneticPr fontId="2" type="noConversion"/>
  </si>
  <si>
    <t>10)</t>
    <phoneticPr fontId="2" type="noConversion"/>
  </si>
  <si>
    <t>11)</t>
    <phoneticPr fontId="2" type="noConversion"/>
  </si>
  <si>
    <t>외주가공비 약83.33만</t>
    <phoneticPr fontId="2" type="noConversion"/>
  </si>
  <si>
    <t>12)</t>
    <phoneticPr fontId="2" type="noConversion"/>
  </si>
  <si>
    <t>3.&lt;민감도보고서&gt;</t>
    <phoneticPr fontId="2" type="noConversion"/>
  </si>
  <si>
    <t>1, 4~12 문제에 답할수있다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</si>
</sst>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elvetica"/>
      <family val="2"/>
    </font>
    <font>
      <sz val="12"/>
      <color indexed="18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0" borderId="0" xfId="0" applyFont="1">
      <alignment vertical="center"/>
    </xf>
    <xf numFmtId="0" fontId="0" fillId="0" borderId="15" xfId="0" applyBorder="1">
      <alignment vertical="center"/>
    </xf>
    <xf numFmtId="0" fontId="0" fillId="3" borderId="14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6" xfId="0" applyFill="1" applyBorder="1">
      <alignment vertical="center"/>
    </xf>
    <xf numFmtId="0" fontId="1" fillId="0" borderId="0" xfId="0" applyFont="1">
      <alignment vertical="center"/>
    </xf>
    <xf numFmtId="0" fontId="0" fillId="0" borderId="20" xfId="0" applyFill="1" applyBorder="1" applyAlignment="1">
      <alignment vertical="center"/>
    </xf>
    <xf numFmtId="0" fontId="4" fillId="0" borderId="19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0" xfId="0" applyNumberFormat="1" applyFill="1" applyBorder="1" applyAlignment="1">
      <alignment vertical="center"/>
    </xf>
    <xf numFmtId="0" fontId="0" fillId="0" borderId="21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1BED-15C2-AE4C-A853-70F0E6048BF0}">
  <dimension ref="A1:J22"/>
  <sheetViews>
    <sheetView workbookViewId="0">
      <selection activeCell="F23" sqref="F23"/>
    </sheetView>
  </sheetViews>
  <sheetFormatPr baseColWidth="10" defaultRowHeight="18"/>
  <cols>
    <col min="1" max="1" width="14.42578125" customWidth="1"/>
  </cols>
  <sheetData>
    <row r="1" spans="1:10">
      <c r="A1" t="s">
        <v>17</v>
      </c>
      <c r="G1" s="15"/>
      <c r="H1" s="15"/>
      <c r="I1" s="15"/>
      <c r="J1" s="15"/>
    </row>
    <row r="2" spans="1:10">
      <c r="G2" s="15"/>
      <c r="H2" s="15"/>
      <c r="I2" s="15"/>
      <c r="J2" s="15"/>
    </row>
    <row r="3" spans="1:10">
      <c r="A3" t="s">
        <v>0</v>
      </c>
      <c r="G3" s="15"/>
      <c r="H3" s="15"/>
      <c r="I3" s="15"/>
      <c r="J3" s="15"/>
    </row>
    <row r="4" spans="1:10">
      <c r="B4" t="s">
        <v>18</v>
      </c>
      <c r="G4" s="15"/>
      <c r="H4" s="15"/>
      <c r="I4" s="15"/>
      <c r="J4" s="15"/>
    </row>
    <row r="5" spans="1:10">
      <c r="A5" t="s">
        <v>1</v>
      </c>
      <c r="B5" t="s">
        <v>2</v>
      </c>
      <c r="C5" t="s">
        <v>3</v>
      </c>
      <c r="D5" t="s">
        <v>19</v>
      </c>
      <c r="G5" s="15"/>
      <c r="H5" s="15"/>
      <c r="I5" s="15"/>
      <c r="J5" s="15"/>
    </row>
    <row r="6" spans="1:10">
      <c r="A6" t="s">
        <v>4</v>
      </c>
      <c r="B6" s="1">
        <v>8</v>
      </c>
      <c r="C6" s="2">
        <v>3</v>
      </c>
      <c r="D6" s="18">
        <v>3</v>
      </c>
      <c r="G6" s="15"/>
      <c r="H6" s="15"/>
      <c r="I6" s="15"/>
      <c r="J6" s="15"/>
    </row>
    <row r="7" spans="1:10">
      <c r="A7" t="s">
        <v>5</v>
      </c>
      <c r="B7" s="3">
        <v>4</v>
      </c>
      <c r="C7" s="4">
        <v>4</v>
      </c>
      <c r="D7" s="19">
        <v>0</v>
      </c>
      <c r="G7" s="15"/>
      <c r="H7" s="15"/>
      <c r="I7" s="15"/>
      <c r="J7" s="15"/>
    </row>
    <row r="8" spans="1:10">
      <c r="A8" t="s">
        <v>6</v>
      </c>
      <c r="B8" s="5">
        <v>4</v>
      </c>
      <c r="C8" s="6">
        <v>0</v>
      </c>
      <c r="D8" s="20">
        <v>2</v>
      </c>
      <c r="G8" s="15"/>
      <c r="H8" s="15"/>
      <c r="I8" s="15"/>
      <c r="J8" s="15"/>
    </row>
    <row r="9" spans="1:10">
      <c r="G9" s="15"/>
      <c r="H9" s="15"/>
      <c r="I9" s="15"/>
      <c r="J9" s="15"/>
    </row>
    <row r="10" spans="1:10">
      <c r="A10" t="s">
        <v>7</v>
      </c>
      <c r="B10" s="7">
        <v>30</v>
      </c>
      <c r="C10" s="8">
        <v>20</v>
      </c>
      <c r="D10" s="17">
        <v>16</v>
      </c>
      <c r="G10" s="15"/>
      <c r="H10" s="15"/>
      <c r="I10" s="15"/>
      <c r="J10" s="15"/>
    </row>
    <row r="11" spans="1:10">
      <c r="G11" s="15"/>
      <c r="H11" s="15"/>
      <c r="I11" s="15"/>
      <c r="J11" s="15"/>
    </row>
    <row r="12" spans="1:10">
      <c r="A12" t="s">
        <v>8</v>
      </c>
      <c r="G12" s="15"/>
      <c r="H12" s="15"/>
      <c r="I12" s="15"/>
      <c r="J12" s="15"/>
    </row>
    <row r="13" spans="1:10">
      <c r="B13" t="s">
        <v>9</v>
      </c>
      <c r="C13" t="s">
        <v>10</v>
      </c>
      <c r="D13" t="s">
        <v>20</v>
      </c>
      <c r="G13" s="15"/>
      <c r="H13" s="15"/>
      <c r="I13" s="15"/>
      <c r="J13" s="15"/>
    </row>
    <row r="14" spans="1:10">
      <c r="A14" t="s">
        <v>21</v>
      </c>
      <c r="B14" s="9">
        <v>0</v>
      </c>
      <c r="C14" s="10">
        <v>40</v>
      </c>
      <c r="D14" s="16">
        <v>40.000000000000007</v>
      </c>
      <c r="G14" s="15"/>
      <c r="H14" s="15"/>
      <c r="I14" s="15"/>
      <c r="J14" s="15"/>
    </row>
    <row r="15" spans="1:10">
      <c r="G15" s="15"/>
      <c r="H15" s="15"/>
      <c r="I15" s="15"/>
      <c r="J15" s="15"/>
    </row>
    <row r="16" spans="1:10">
      <c r="A16" t="s">
        <v>11</v>
      </c>
      <c r="G16" s="15"/>
      <c r="H16" s="15"/>
      <c r="I16" s="15"/>
      <c r="J16" s="15"/>
    </row>
    <row r="17" spans="1:10">
      <c r="A17" t="s">
        <v>12</v>
      </c>
      <c r="B17" s="11">
        <f>SUMPRODUCT(B10:C10:D10,B14:C14:D14)</f>
        <v>1440</v>
      </c>
      <c r="C17" t="s">
        <v>22</v>
      </c>
      <c r="G17" s="15"/>
      <c r="H17" s="15"/>
      <c r="I17" s="15"/>
      <c r="J17" s="15"/>
    </row>
    <row r="18" spans="1:10">
      <c r="G18" s="15"/>
      <c r="H18" s="15"/>
      <c r="I18" s="15"/>
      <c r="J18" s="15"/>
    </row>
    <row r="19" spans="1:10">
      <c r="A19" t="s">
        <v>13</v>
      </c>
      <c r="B19" s="12">
        <f>SUMPRODUCT(B6:C6:D6, $B$14:$C$14:$D$14)</f>
        <v>240.00000000000003</v>
      </c>
      <c r="C19" t="s">
        <v>14</v>
      </c>
      <c r="D19" s="12">
        <v>240</v>
      </c>
      <c r="G19" s="15"/>
      <c r="H19" s="15"/>
      <c r="I19" s="15"/>
      <c r="J19" s="15"/>
    </row>
    <row r="20" spans="1:10">
      <c r="A20" t="s">
        <v>15</v>
      </c>
      <c r="B20" s="12">
        <f>SUMPRODUCT(B7:C7:D7, $B$14:$C$14:$D$14)</f>
        <v>160</v>
      </c>
      <c r="C20" t="s">
        <v>14</v>
      </c>
      <c r="D20" s="13">
        <v>200</v>
      </c>
      <c r="G20" s="15"/>
      <c r="H20" s="15"/>
      <c r="I20" s="15"/>
      <c r="J20" s="15"/>
    </row>
    <row r="21" spans="1:10">
      <c r="A21" t="s">
        <v>16</v>
      </c>
      <c r="B21" s="12">
        <f>SUMPRODUCT(B8:C8:D8, $B$14:$C$14:$D$14)</f>
        <v>80.000000000000014</v>
      </c>
      <c r="C21" t="s">
        <v>14</v>
      </c>
      <c r="D21" s="13">
        <v>100</v>
      </c>
      <c r="G21" s="15"/>
      <c r="H21" s="15"/>
      <c r="I21" s="15"/>
      <c r="J21" s="15"/>
    </row>
    <row r="22" spans="1:10">
      <c r="A22" t="s">
        <v>10</v>
      </c>
      <c r="B22" s="14">
        <f>C14</f>
        <v>40</v>
      </c>
      <c r="C22" t="s">
        <v>14</v>
      </c>
      <c r="D22" s="14">
        <v>40</v>
      </c>
      <c r="G22" s="15"/>
      <c r="H22" s="15"/>
      <c r="I22" s="15"/>
      <c r="J22" s="1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CE4D-B5E7-914B-A903-4A23DEFC2C60}">
  <dimension ref="A1:G33"/>
  <sheetViews>
    <sheetView showGridLines="0" workbookViewId="0"/>
  </sheetViews>
  <sheetFormatPr baseColWidth="10" defaultRowHeight="18" outlineLevelRow="1"/>
  <cols>
    <col min="1" max="1" width="2.28515625" customWidth="1"/>
    <col min="2" max="2" width="6.7109375" bestFit="1" customWidth="1"/>
    <col min="3" max="3" width="27.140625" bestFit="1" customWidth="1"/>
    <col min="4" max="4" width="11.42578125" bestFit="1" customWidth="1"/>
    <col min="5" max="5" width="14.42578125" bestFit="1" customWidth="1"/>
    <col min="6" max="7" width="10.85546875" bestFit="1" customWidth="1"/>
  </cols>
  <sheetData>
    <row r="1" spans="1:5">
      <c r="A1" s="21" t="s">
        <v>23</v>
      </c>
    </row>
    <row r="2" spans="1:5">
      <c r="A2" s="21" t="s">
        <v>67</v>
      </c>
    </row>
    <row r="3" spans="1:5">
      <c r="A3" s="21" t="s">
        <v>68</v>
      </c>
    </row>
    <row r="4" spans="1:5">
      <c r="A4" s="21" t="s">
        <v>24</v>
      </c>
    </row>
    <row r="5" spans="1:5">
      <c r="A5" s="21" t="s">
        <v>25</v>
      </c>
    </row>
    <row r="6" spans="1:5" hidden="1" outlineLevel="1">
      <c r="A6" s="21"/>
      <c r="B6" t="s">
        <v>26</v>
      </c>
    </row>
    <row r="7" spans="1:5" hidden="1" outlineLevel="1">
      <c r="A7" s="21"/>
      <c r="B7" t="s">
        <v>69</v>
      </c>
    </row>
    <row r="8" spans="1:5" hidden="1" outlineLevel="1">
      <c r="A8" s="21"/>
      <c r="B8" t="s">
        <v>65</v>
      </c>
    </row>
    <row r="9" spans="1:5" collapsed="1">
      <c r="A9" s="21" t="s">
        <v>27</v>
      </c>
    </row>
    <row r="10" spans="1:5" hidden="1" outlineLevel="1">
      <c r="B10" t="s">
        <v>66</v>
      </c>
    </row>
    <row r="11" spans="1:5" hidden="1" outlineLevel="1">
      <c r="B11" t="s">
        <v>28</v>
      </c>
    </row>
    <row r="12" spans="1:5" collapsed="1"/>
    <row r="14" spans="1:5" ht="19" thickBot="1">
      <c r="A14" t="s">
        <v>29</v>
      </c>
    </row>
    <row r="15" spans="1:5" ht="19" thickBot="1">
      <c r="B15" s="23" t="s">
        <v>30</v>
      </c>
      <c r="C15" s="23" t="s">
        <v>31</v>
      </c>
      <c r="D15" s="23" t="s">
        <v>32</v>
      </c>
      <c r="E15" s="23" t="s">
        <v>33</v>
      </c>
    </row>
    <row r="16" spans="1:5" ht="19" thickBot="1">
      <c r="B16" s="22" t="s">
        <v>41</v>
      </c>
      <c r="C16" s="22" t="s">
        <v>42</v>
      </c>
      <c r="D16" s="26">
        <v>1180</v>
      </c>
      <c r="E16" s="26">
        <v>1440</v>
      </c>
    </row>
    <row r="19" spans="1:7" ht="19" thickBot="1">
      <c r="A19" t="s">
        <v>34</v>
      </c>
    </row>
    <row r="20" spans="1:7" ht="19" thickBot="1">
      <c r="B20" s="23" t="s">
        <v>30</v>
      </c>
      <c r="C20" s="23" t="s">
        <v>31</v>
      </c>
      <c r="D20" s="23" t="s">
        <v>32</v>
      </c>
      <c r="E20" s="23" t="s">
        <v>33</v>
      </c>
      <c r="F20" s="23" t="s">
        <v>35</v>
      </c>
    </row>
    <row r="21" spans="1:7">
      <c r="B21" s="30" t="s">
        <v>64</v>
      </c>
      <c r="C21" s="29"/>
      <c r="D21" s="29"/>
      <c r="E21" s="29"/>
      <c r="F21" s="29"/>
    </row>
    <row r="22" spans="1:7" hidden="1" outlineLevel="1">
      <c r="B22" s="25" t="s">
        <v>43</v>
      </c>
      <c r="C22" s="25" t="s">
        <v>44</v>
      </c>
      <c r="D22" s="27">
        <v>18</v>
      </c>
      <c r="E22" s="27">
        <v>0</v>
      </c>
      <c r="F22" s="25" t="s">
        <v>45</v>
      </c>
    </row>
    <row r="23" spans="1:7" hidden="1" outlineLevel="1">
      <c r="B23" s="25" t="s">
        <v>46</v>
      </c>
      <c r="C23" s="25" t="s">
        <v>47</v>
      </c>
      <c r="D23" s="27">
        <v>32</v>
      </c>
      <c r="E23" s="27">
        <v>40</v>
      </c>
      <c r="F23" s="25" t="s">
        <v>45</v>
      </c>
    </row>
    <row r="24" spans="1:7" ht="19" hidden="1" outlineLevel="1" thickBot="1">
      <c r="B24" s="22" t="s">
        <v>48</v>
      </c>
      <c r="C24" s="22" t="s">
        <v>49</v>
      </c>
      <c r="D24" s="26">
        <v>0</v>
      </c>
      <c r="E24" s="26">
        <v>40.000000000000007</v>
      </c>
      <c r="F24" s="22" t="s">
        <v>45</v>
      </c>
    </row>
    <row r="25" spans="1:7" collapsed="1">
      <c r="B25" s="24"/>
      <c r="C25" s="24"/>
      <c r="D25" s="28"/>
      <c r="E25" s="28"/>
      <c r="F25" s="24"/>
    </row>
    <row r="28" spans="1:7" ht="19" thickBot="1">
      <c r="A28" t="s">
        <v>36</v>
      </c>
    </row>
    <row r="29" spans="1:7" ht="19" thickBot="1">
      <c r="B29" s="23" t="s">
        <v>30</v>
      </c>
      <c r="C29" s="23" t="s">
        <v>31</v>
      </c>
      <c r="D29" s="23" t="s">
        <v>37</v>
      </c>
      <c r="E29" s="23" t="s">
        <v>38</v>
      </c>
      <c r="F29" s="23" t="s">
        <v>39</v>
      </c>
      <c r="G29" s="23" t="s">
        <v>40</v>
      </c>
    </row>
    <row r="30" spans="1:7">
      <c r="B30" s="25" t="s">
        <v>50</v>
      </c>
      <c r="C30" s="25" t="s">
        <v>51</v>
      </c>
      <c r="D30" s="27">
        <v>240.00000000000003</v>
      </c>
      <c r="E30" s="25" t="s">
        <v>52</v>
      </c>
      <c r="F30" s="25" t="s">
        <v>53</v>
      </c>
      <c r="G30" s="25">
        <v>0</v>
      </c>
    </row>
    <row r="31" spans="1:7">
      <c r="B31" s="25" t="s">
        <v>54</v>
      </c>
      <c r="C31" s="25" t="s">
        <v>55</v>
      </c>
      <c r="D31" s="27">
        <v>160</v>
      </c>
      <c r="E31" s="25" t="s">
        <v>56</v>
      </c>
      <c r="F31" s="25" t="s">
        <v>60</v>
      </c>
      <c r="G31" s="25">
        <v>40</v>
      </c>
    </row>
    <row r="32" spans="1:7">
      <c r="B32" s="25" t="s">
        <v>57</v>
      </c>
      <c r="C32" s="25" t="s">
        <v>58</v>
      </c>
      <c r="D32" s="27">
        <v>80.000000000000014</v>
      </c>
      <c r="E32" s="25" t="s">
        <v>59</v>
      </c>
      <c r="F32" s="25" t="s">
        <v>60</v>
      </c>
      <c r="G32" s="25">
        <v>19.999999999999986</v>
      </c>
    </row>
    <row r="33" spans="2:7" ht="19" thickBot="1">
      <c r="B33" s="22" t="s">
        <v>61</v>
      </c>
      <c r="C33" s="22" t="s">
        <v>62</v>
      </c>
      <c r="D33" s="26">
        <v>40</v>
      </c>
      <c r="E33" s="22" t="s">
        <v>63</v>
      </c>
      <c r="F33" s="22" t="s">
        <v>53</v>
      </c>
      <c r="G33" s="22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7E2A-2968-CD42-AFFC-B8C0EE60C0B2}">
  <dimension ref="A1:S27"/>
  <sheetViews>
    <sheetView topLeftCell="K5" workbookViewId="0">
      <selection activeCell="U27" sqref="U25:U27"/>
    </sheetView>
  </sheetViews>
  <sheetFormatPr baseColWidth="10" defaultRowHeight="18"/>
  <sheetData>
    <row r="1" spans="1:19">
      <c r="A1" t="s">
        <v>17</v>
      </c>
      <c r="F1" t="s">
        <v>17</v>
      </c>
      <c r="K1" t="s">
        <v>17</v>
      </c>
      <c r="P1" t="s">
        <v>17</v>
      </c>
    </row>
    <row r="3" spans="1:19">
      <c r="A3" t="s">
        <v>0</v>
      </c>
      <c r="F3" t="s">
        <v>0</v>
      </c>
      <c r="K3" t="s">
        <v>0</v>
      </c>
      <c r="P3" t="s">
        <v>0</v>
      </c>
    </row>
    <row r="4" spans="1:19">
      <c r="B4" t="s">
        <v>18</v>
      </c>
      <c r="G4" t="s">
        <v>18</v>
      </c>
      <c r="L4" t="s">
        <v>18</v>
      </c>
      <c r="Q4" t="s">
        <v>18</v>
      </c>
    </row>
    <row r="5" spans="1:19">
      <c r="A5" t="s">
        <v>1</v>
      </c>
      <c r="B5" t="s">
        <v>2</v>
      </c>
      <c r="C5" t="s">
        <v>3</v>
      </c>
      <c r="D5" t="s">
        <v>19</v>
      </c>
      <c r="F5" t="s">
        <v>1</v>
      </c>
      <c r="G5" t="s">
        <v>2</v>
      </c>
      <c r="H5" t="s">
        <v>3</v>
      </c>
      <c r="I5" t="s">
        <v>19</v>
      </c>
      <c r="K5" t="s">
        <v>1</v>
      </c>
      <c r="L5" t="s">
        <v>2</v>
      </c>
      <c r="M5" t="s">
        <v>3</v>
      </c>
      <c r="N5" t="s">
        <v>19</v>
      </c>
      <c r="P5" t="s">
        <v>1</v>
      </c>
      <c r="Q5" t="s">
        <v>2</v>
      </c>
      <c r="R5" t="s">
        <v>3</v>
      </c>
      <c r="S5" t="s">
        <v>19</v>
      </c>
    </row>
    <row r="6" spans="1:19">
      <c r="A6" t="s">
        <v>4</v>
      </c>
      <c r="B6" s="1">
        <v>8</v>
      </c>
      <c r="C6" s="2">
        <v>3</v>
      </c>
      <c r="D6" s="18">
        <v>3</v>
      </c>
      <c r="F6" t="s">
        <v>4</v>
      </c>
      <c r="G6" s="1">
        <v>8</v>
      </c>
      <c r="H6" s="2">
        <v>3</v>
      </c>
      <c r="I6" s="18">
        <v>3</v>
      </c>
      <c r="K6" t="s">
        <v>4</v>
      </c>
      <c r="L6" s="1">
        <v>8</v>
      </c>
      <c r="M6" s="2">
        <v>3</v>
      </c>
      <c r="N6" s="18">
        <v>3</v>
      </c>
      <c r="P6" t="s">
        <v>4</v>
      </c>
      <c r="Q6" s="1">
        <v>8</v>
      </c>
      <c r="R6" s="2">
        <v>3</v>
      </c>
      <c r="S6" s="18">
        <v>3</v>
      </c>
    </row>
    <row r="7" spans="1:19">
      <c r="A7" t="s">
        <v>5</v>
      </c>
      <c r="B7" s="3">
        <v>4</v>
      </c>
      <c r="C7" s="4">
        <v>4</v>
      </c>
      <c r="D7" s="19">
        <v>0</v>
      </c>
      <c r="F7" t="s">
        <v>5</v>
      </c>
      <c r="G7" s="3">
        <v>4</v>
      </c>
      <c r="H7" s="4">
        <v>4</v>
      </c>
      <c r="I7" s="19">
        <v>0</v>
      </c>
      <c r="K7" t="s">
        <v>5</v>
      </c>
      <c r="L7" s="3">
        <v>4</v>
      </c>
      <c r="M7" s="4">
        <v>4</v>
      </c>
      <c r="N7" s="19">
        <v>0</v>
      </c>
      <c r="P7" t="s">
        <v>5</v>
      </c>
      <c r="Q7" s="3">
        <v>4</v>
      </c>
      <c r="R7" s="4">
        <v>4</v>
      </c>
      <c r="S7" s="19">
        <v>0</v>
      </c>
    </row>
    <row r="8" spans="1:19">
      <c r="A8" t="s">
        <v>6</v>
      </c>
      <c r="B8" s="5">
        <v>4</v>
      </c>
      <c r="C8" s="6">
        <v>0</v>
      </c>
      <c r="D8" s="20">
        <v>2</v>
      </c>
      <c r="F8" t="s">
        <v>6</v>
      </c>
      <c r="G8" s="5">
        <v>4</v>
      </c>
      <c r="H8" s="6">
        <v>0</v>
      </c>
      <c r="I8" s="20">
        <v>2</v>
      </c>
      <c r="K8" t="s">
        <v>6</v>
      </c>
      <c r="L8" s="5">
        <v>4</v>
      </c>
      <c r="M8" s="6">
        <v>0</v>
      </c>
      <c r="N8" s="20">
        <v>2</v>
      </c>
      <c r="P8" t="s">
        <v>6</v>
      </c>
      <c r="Q8" s="5">
        <v>4</v>
      </c>
      <c r="R8" s="6">
        <v>0</v>
      </c>
      <c r="S8" s="20">
        <v>2</v>
      </c>
    </row>
    <row r="10" spans="1:19">
      <c r="A10" t="s">
        <v>7</v>
      </c>
      <c r="B10" s="7">
        <v>30</v>
      </c>
      <c r="C10" s="8">
        <v>20</v>
      </c>
      <c r="D10" s="17">
        <v>16</v>
      </c>
      <c r="F10" t="s">
        <v>7</v>
      </c>
      <c r="G10" s="7">
        <v>43</v>
      </c>
      <c r="H10" s="8">
        <v>20</v>
      </c>
      <c r="I10" s="17">
        <v>16</v>
      </c>
      <c r="K10" t="s">
        <v>7</v>
      </c>
      <c r="L10" s="7">
        <v>30</v>
      </c>
      <c r="M10" s="8">
        <v>17</v>
      </c>
      <c r="N10" s="17">
        <v>16</v>
      </c>
      <c r="P10" t="s">
        <v>7</v>
      </c>
      <c r="Q10" s="7">
        <v>30</v>
      </c>
      <c r="R10" s="8">
        <v>20</v>
      </c>
      <c r="S10" s="17">
        <v>19</v>
      </c>
    </row>
    <row r="12" spans="1:19">
      <c r="A12" t="s">
        <v>8</v>
      </c>
      <c r="F12" t="s">
        <v>8</v>
      </c>
      <c r="K12" t="s">
        <v>8</v>
      </c>
      <c r="P12" t="s">
        <v>8</v>
      </c>
    </row>
    <row r="13" spans="1:19">
      <c r="B13" t="s">
        <v>9</v>
      </c>
      <c r="C13" t="s">
        <v>10</v>
      </c>
      <c r="D13" t="s">
        <v>20</v>
      </c>
      <c r="G13" t="s">
        <v>9</v>
      </c>
      <c r="H13" t="s">
        <v>10</v>
      </c>
      <c r="I13" t="s">
        <v>20</v>
      </c>
      <c r="L13" t="s">
        <v>9</v>
      </c>
      <c r="M13" t="s">
        <v>10</v>
      </c>
      <c r="N13" t="s">
        <v>20</v>
      </c>
      <c r="Q13" t="s">
        <v>9</v>
      </c>
      <c r="R13" t="s">
        <v>10</v>
      </c>
      <c r="S13" t="s">
        <v>20</v>
      </c>
    </row>
    <row r="14" spans="1:19">
      <c r="A14" t="s">
        <v>21</v>
      </c>
      <c r="B14" s="9">
        <v>0</v>
      </c>
      <c r="C14" s="10">
        <v>40</v>
      </c>
      <c r="D14" s="16">
        <v>40</v>
      </c>
      <c r="F14" t="s">
        <v>21</v>
      </c>
      <c r="G14" s="9">
        <v>10.000000000000004</v>
      </c>
      <c r="H14" s="10">
        <v>40</v>
      </c>
      <c r="I14" s="16">
        <v>13.333333333333327</v>
      </c>
      <c r="K14" t="s">
        <v>21</v>
      </c>
      <c r="L14" s="9">
        <v>0</v>
      </c>
      <c r="M14" s="10">
        <v>40</v>
      </c>
      <c r="N14" s="16">
        <v>40.000000000000007</v>
      </c>
      <c r="P14" t="s">
        <v>21</v>
      </c>
      <c r="Q14" s="9">
        <v>0</v>
      </c>
      <c r="R14" s="10">
        <v>40</v>
      </c>
      <c r="S14" s="16">
        <v>40.000000000000007</v>
      </c>
    </row>
    <row r="16" spans="1:19">
      <c r="A16" t="s">
        <v>11</v>
      </c>
      <c r="F16" t="s">
        <v>11</v>
      </c>
      <c r="K16" t="s">
        <v>11</v>
      </c>
      <c r="P16" t="s">
        <v>11</v>
      </c>
    </row>
    <row r="17" spans="1:19">
      <c r="A17" t="s">
        <v>12</v>
      </c>
      <c r="B17" s="11">
        <f>SUMPRODUCT(B10:C10:D10,B14:C14:D14)</f>
        <v>1440</v>
      </c>
      <c r="C17" t="s">
        <v>22</v>
      </c>
      <c r="F17" t="s">
        <v>12</v>
      </c>
      <c r="G17" s="11">
        <f>SUMPRODUCT(G10:H10:I10,G14:H14:I14)</f>
        <v>1443.3333333333335</v>
      </c>
      <c r="H17" t="s">
        <v>22</v>
      </c>
      <c r="K17" t="s">
        <v>12</v>
      </c>
      <c r="L17" s="11">
        <f>SUMPRODUCT(L10:M10:N10,L14:M14:N14)</f>
        <v>1320</v>
      </c>
      <c r="M17" t="s">
        <v>22</v>
      </c>
      <c r="P17" t="s">
        <v>12</v>
      </c>
      <c r="Q17" s="11">
        <f>SUMPRODUCT(Q10:R10:S10,Q14:R14:S14)</f>
        <v>1560</v>
      </c>
      <c r="R17" t="s">
        <v>22</v>
      </c>
    </row>
    <row r="19" spans="1:19">
      <c r="A19" t="s">
        <v>13</v>
      </c>
      <c r="B19" s="12">
        <f>SUMPRODUCT(B6:C6:D6, $B$14:$C$14:$D$14)</f>
        <v>240</v>
      </c>
      <c r="C19" t="s">
        <v>14</v>
      </c>
      <c r="D19" s="12">
        <v>240</v>
      </c>
      <c r="F19" t="s">
        <v>13</v>
      </c>
      <c r="G19" s="12">
        <f>SUMPRODUCT(G6:H6:I6, $B$14:$C$14:$D$14)</f>
        <v>240</v>
      </c>
      <c r="H19" t="s">
        <v>14</v>
      </c>
      <c r="I19" s="12">
        <v>240</v>
      </c>
      <c r="K19" t="s">
        <v>13</v>
      </c>
      <c r="L19" s="12">
        <f>SUMPRODUCT(L6:M6:N6, $B$14:$C$14:$D$14)</f>
        <v>240</v>
      </c>
      <c r="M19" t="s">
        <v>14</v>
      </c>
      <c r="N19" s="12">
        <v>240</v>
      </c>
      <c r="P19" t="s">
        <v>13</v>
      </c>
      <c r="Q19" s="12">
        <f>SUMPRODUCT(Q6:R6:S6, $B$14:$C$14:$D$14)</f>
        <v>240</v>
      </c>
      <c r="R19" t="s">
        <v>14</v>
      </c>
      <c r="S19" s="12">
        <v>240</v>
      </c>
    </row>
    <row r="20" spans="1:19">
      <c r="A20" t="s">
        <v>15</v>
      </c>
      <c r="B20" s="12">
        <f>SUMPRODUCT(B7:C7:D7, $B$14:$C$14:$D$14)</f>
        <v>160</v>
      </c>
      <c r="C20" t="s">
        <v>14</v>
      </c>
      <c r="D20" s="13">
        <v>200</v>
      </c>
      <c r="F20" t="s">
        <v>15</v>
      </c>
      <c r="G20" s="12">
        <f>SUMPRODUCT(G7:H7:I7, $B$14:$C$14:$D$14)</f>
        <v>160</v>
      </c>
      <c r="H20" t="s">
        <v>14</v>
      </c>
      <c r="I20" s="13">
        <v>200</v>
      </c>
      <c r="K20" t="s">
        <v>15</v>
      </c>
      <c r="L20" s="12">
        <f>SUMPRODUCT(L7:M7:N7, $B$14:$C$14:$D$14)</f>
        <v>160</v>
      </c>
      <c r="M20" t="s">
        <v>14</v>
      </c>
      <c r="N20" s="13">
        <v>200</v>
      </c>
      <c r="P20" t="s">
        <v>15</v>
      </c>
      <c r="Q20" s="12">
        <f>SUMPRODUCT(Q7:R7:S7, $B$14:$C$14:$D$14)</f>
        <v>160</v>
      </c>
      <c r="R20" t="s">
        <v>14</v>
      </c>
      <c r="S20" s="13">
        <v>200</v>
      </c>
    </row>
    <row r="21" spans="1:19">
      <c r="A21" t="s">
        <v>16</v>
      </c>
      <c r="B21" s="12">
        <f>SUMPRODUCT(B8:C8:D8, $B$14:$C$14:$D$14)</f>
        <v>80</v>
      </c>
      <c r="C21" t="s">
        <v>14</v>
      </c>
      <c r="D21" s="13">
        <v>100</v>
      </c>
      <c r="F21" t="s">
        <v>16</v>
      </c>
      <c r="G21" s="12">
        <f>SUMPRODUCT(G8:H8:I8, $B$14:$C$14:$D$14)</f>
        <v>80</v>
      </c>
      <c r="H21" t="s">
        <v>14</v>
      </c>
      <c r="I21" s="13">
        <v>100</v>
      </c>
      <c r="K21" t="s">
        <v>16</v>
      </c>
      <c r="L21" s="12">
        <f>SUMPRODUCT(L8:M8:N8, $B$14:$C$14:$D$14)</f>
        <v>80</v>
      </c>
      <c r="M21" t="s">
        <v>14</v>
      </c>
      <c r="N21" s="13">
        <v>100</v>
      </c>
      <c r="P21" t="s">
        <v>16</v>
      </c>
      <c r="Q21" s="12">
        <f>SUMPRODUCT(Q8:R8:S8, $B$14:$C$14:$D$14)</f>
        <v>80</v>
      </c>
      <c r="R21" t="s">
        <v>14</v>
      </c>
      <c r="S21" s="13">
        <v>100</v>
      </c>
    </row>
    <row r="22" spans="1:19">
      <c r="A22" t="s">
        <v>10</v>
      </c>
      <c r="B22" s="14">
        <f>C14</f>
        <v>40</v>
      </c>
      <c r="C22" t="s">
        <v>14</v>
      </c>
      <c r="D22" s="14">
        <v>40</v>
      </c>
      <c r="F22" t="s">
        <v>10</v>
      </c>
      <c r="G22" s="14">
        <f>H14</f>
        <v>40</v>
      </c>
      <c r="H22" t="s">
        <v>14</v>
      </c>
      <c r="I22" s="14">
        <v>40</v>
      </c>
      <c r="K22" t="s">
        <v>10</v>
      </c>
      <c r="L22" s="14">
        <f>M14</f>
        <v>40</v>
      </c>
      <c r="M22" t="s">
        <v>14</v>
      </c>
      <c r="N22" s="14">
        <v>40</v>
      </c>
      <c r="P22" t="s">
        <v>10</v>
      </c>
      <c r="Q22" s="14">
        <f>R14</f>
        <v>40</v>
      </c>
      <c r="R22" t="s">
        <v>14</v>
      </c>
      <c r="S22" s="14">
        <v>40</v>
      </c>
    </row>
    <row r="25" spans="1:19">
      <c r="F25" t="s">
        <v>70</v>
      </c>
      <c r="K25" t="s">
        <v>72</v>
      </c>
      <c r="P25" t="s">
        <v>75</v>
      </c>
    </row>
    <row r="26" spans="1:19">
      <c r="K26" t="s">
        <v>74</v>
      </c>
      <c r="P26" t="s">
        <v>76</v>
      </c>
    </row>
    <row r="27" spans="1:19">
      <c r="F27" t="s">
        <v>71</v>
      </c>
      <c r="K27" t="s">
        <v>73</v>
      </c>
      <c r="P27" t="s">
        <v>77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6B84-C01F-CF4B-9638-954F60A14CBC}">
  <dimension ref="A1:H29"/>
  <sheetViews>
    <sheetView showGridLines="0" topLeftCell="A4" workbookViewId="0">
      <selection activeCell="B30" sqref="B30"/>
    </sheetView>
  </sheetViews>
  <sheetFormatPr baseColWidth="10" defaultRowHeight="18"/>
  <cols>
    <col min="1" max="1" width="2.28515625" customWidth="1"/>
    <col min="2" max="2" width="7" bestFit="1" customWidth="1"/>
    <col min="3" max="3" width="27.140625" bestFit="1" customWidth="1"/>
    <col min="4" max="4" width="5.140625" bestFit="1" customWidth="1"/>
    <col min="5" max="5" width="13.5703125" bestFit="1" customWidth="1"/>
    <col min="6" max="6" width="9.140625" bestFit="1" customWidth="1"/>
    <col min="7" max="7" width="12.7109375" bestFit="1" customWidth="1"/>
    <col min="8" max="8" width="9.140625" bestFit="1" customWidth="1"/>
  </cols>
  <sheetData>
    <row r="1" spans="1:8">
      <c r="A1" s="21" t="s">
        <v>78</v>
      </c>
    </row>
    <row r="2" spans="1:8">
      <c r="A2" s="21" t="s">
        <v>91</v>
      </c>
    </row>
    <row r="3" spans="1:8">
      <c r="A3" s="21" t="s">
        <v>92</v>
      </c>
    </row>
    <row r="6" spans="1:8" ht="19" thickBot="1">
      <c r="A6" t="s">
        <v>34</v>
      </c>
    </row>
    <row r="7" spans="1:8">
      <c r="B7" s="31"/>
      <c r="C7" s="31"/>
      <c r="D7" s="31" t="s">
        <v>79</v>
      </c>
      <c r="E7" s="31" t="s">
        <v>81</v>
      </c>
      <c r="F7" s="31" t="s">
        <v>83</v>
      </c>
      <c r="G7" s="31" t="s">
        <v>85</v>
      </c>
      <c r="H7" s="31" t="s">
        <v>85</v>
      </c>
    </row>
    <row r="8" spans="1:8" ht="19" thickBot="1">
      <c r="B8" s="32" t="s">
        <v>30</v>
      </c>
      <c r="C8" s="32" t="s">
        <v>31</v>
      </c>
      <c r="D8" s="32" t="s">
        <v>80</v>
      </c>
      <c r="E8" s="32" t="s">
        <v>82</v>
      </c>
      <c r="F8" s="32" t="s">
        <v>84</v>
      </c>
      <c r="G8" s="32" t="s">
        <v>86</v>
      </c>
      <c r="H8" s="32" t="s">
        <v>87</v>
      </c>
    </row>
    <row r="9" spans="1:8">
      <c r="B9" s="25" t="s">
        <v>43</v>
      </c>
      <c r="C9" s="25" t="s">
        <v>44</v>
      </c>
      <c r="D9" s="25">
        <v>0</v>
      </c>
      <c r="E9" s="25">
        <v>-12.666666666666668</v>
      </c>
      <c r="F9" s="25">
        <v>30</v>
      </c>
      <c r="G9" s="25">
        <v>12.666666666666668</v>
      </c>
      <c r="H9" s="25">
        <v>1E+30</v>
      </c>
    </row>
    <row r="10" spans="1:8">
      <c r="B10" s="25" t="s">
        <v>46</v>
      </c>
      <c r="C10" s="25" t="s">
        <v>47</v>
      </c>
      <c r="D10" s="25">
        <v>40</v>
      </c>
      <c r="E10" s="25">
        <v>0</v>
      </c>
      <c r="F10" s="25">
        <v>20</v>
      </c>
      <c r="G10" s="25">
        <v>1E+30</v>
      </c>
      <c r="H10" s="25">
        <v>4</v>
      </c>
    </row>
    <row r="11" spans="1:8" ht="19" thickBot="1">
      <c r="B11" s="22" t="s">
        <v>48</v>
      </c>
      <c r="C11" s="22" t="s">
        <v>49</v>
      </c>
      <c r="D11" s="22">
        <v>40.000000000000007</v>
      </c>
      <c r="E11" s="22">
        <v>0</v>
      </c>
      <c r="F11" s="22">
        <v>16</v>
      </c>
      <c r="G11" s="22">
        <v>4</v>
      </c>
      <c r="H11" s="22">
        <v>4.75</v>
      </c>
    </row>
    <row r="13" spans="1:8" ht="19" thickBot="1">
      <c r="A13" t="s">
        <v>36</v>
      </c>
    </row>
    <row r="14" spans="1:8">
      <c r="B14" s="31"/>
      <c r="C14" s="31"/>
      <c r="D14" s="31" t="s">
        <v>79</v>
      </c>
      <c r="E14" s="31" t="s">
        <v>88</v>
      </c>
      <c r="F14" s="31" t="s">
        <v>36</v>
      </c>
      <c r="G14" s="31" t="s">
        <v>85</v>
      </c>
      <c r="H14" s="31" t="s">
        <v>85</v>
      </c>
    </row>
    <row r="15" spans="1:8" ht="19" thickBot="1">
      <c r="B15" s="32" t="s">
        <v>30</v>
      </c>
      <c r="C15" s="32" t="s">
        <v>31</v>
      </c>
      <c r="D15" s="32" t="s">
        <v>80</v>
      </c>
      <c r="E15" s="32" t="s">
        <v>89</v>
      </c>
      <c r="F15" s="32" t="s">
        <v>90</v>
      </c>
      <c r="G15" s="32" t="s">
        <v>86</v>
      </c>
      <c r="H15" s="32" t="s">
        <v>87</v>
      </c>
    </row>
    <row r="16" spans="1:8">
      <c r="B16" s="25" t="s">
        <v>50</v>
      </c>
      <c r="C16" s="25" t="s">
        <v>51</v>
      </c>
      <c r="D16" s="25">
        <v>240.00000000000003</v>
      </c>
      <c r="E16" s="25">
        <v>5.333333333333333</v>
      </c>
      <c r="F16" s="25">
        <v>240</v>
      </c>
      <c r="G16" s="25">
        <v>29.999999999999996</v>
      </c>
      <c r="H16" s="25">
        <v>120.00000000000003</v>
      </c>
    </row>
    <row r="17" spans="2:8">
      <c r="B17" s="25" t="s">
        <v>54</v>
      </c>
      <c r="C17" s="25" t="s">
        <v>55</v>
      </c>
      <c r="D17" s="25">
        <v>160</v>
      </c>
      <c r="E17" s="25">
        <v>0</v>
      </c>
      <c r="F17" s="25">
        <v>200</v>
      </c>
      <c r="G17" s="25">
        <v>1E+30</v>
      </c>
      <c r="H17" s="25">
        <v>40.000000000000021</v>
      </c>
    </row>
    <row r="18" spans="2:8">
      <c r="B18" s="25" t="s">
        <v>57</v>
      </c>
      <c r="C18" s="25" t="s">
        <v>58</v>
      </c>
      <c r="D18" s="25">
        <v>80.000000000000014</v>
      </c>
      <c r="E18" s="25">
        <v>0</v>
      </c>
      <c r="F18" s="25">
        <v>100</v>
      </c>
      <c r="G18" s="25">
        <v>1E+30</v>
      </c>
      <c r="H18" s="25">
        <v>20</v>
      </c>
    </row>
    <row r="19" spans="2:8" ht="19" thickBot="1">
      <c r="B19" s="22" t="s">
        <v>61</v>
      </c>
      <c r="C19" s="22" t="s">
        <v>10</v>
      </c>
      <c r="D19" s="22">
        <v>40</v>
      </c>
      <c r="E19" s="22">
        <v>4</v>
      </c>
      <c r="F19" s="22">
        <v>40</v>
      </c>
      <c r="G19" s="22">
        <v>10.000000000000005</v>
      </c>
      <c r="H19" s="22">
        <v>10</v>
      </c>
    </row>
    <row r="22" spans="2:8">
      <c r="B22" t="s">
        <v>93</v>
      </c>
      <c r="D22" t="s">
        <v>94</v>
      </c>
      <c r="F22" t="s">
        <v>95</v>
      </c>
    </row>
    <row r="23" spans="2:8">
      <c r="B23" t="s">
        <v>97</v>
      </c>
      <c r="D23" t="s">
        <v>98</v>
      </c>
      <c r="F23" t="s">
        <v>96</v>
      </c>
    </row>
    <row r="25" spans="2:8">
      <c r="B25" t="s">
        <v>99</v>
      </c>
      <c r="D25" t="s">
        <v>100</v>
      </c>
      <c r="F25" t="s">
        <v>101</v>
      </c>
      <c r="H25" t="s">
        <v>102</v>
      </c>
    </row>
    <row r="26" spans="2:8">
      <c r="B26">
        <v>5.33</v>
      </c>
      <c r="D26">
        <v>0</v>
      </c>
      <c r="F26">
        <v>4</v>
      </c>
      <c r="H26" t="s">
        <v>103</v>
      </c>
    </row>
    <row r="28" spans="2:8">
      <c r="B28" t="s">
        <v>104</v>
      </c>
    </row>
    <row r="29" spans="2:8">
      <c r="B29" t="s">
        <v>105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4226-A428-2444-B13E-3A38CB7317C4}">
  <dimension ref="A1:X28"/>
  <sheetViews>
    <sheetView topLeftCell="A3" workbookViewId="0">
      <selection activeCell="B17" sqref="B17"/>
    </sheetView>
  </sheetViews>
  <sheetFormatPr baseColWidth="10" defaultRowHeight="18"/>
  <sheetData>
    <row r="1" spans="1:24">
      <c r="A1" t="s">
        <v>17</v>
      </c>
      <c r="F1" t="s">
        <v>17</v>
      </c>
      <c r="K1" t="s">
        <v>17</v>
      </c>
      <c r="P1" t="s">
        <v>17</v>
      </c>
      <c r="U1" t="s">
        <v>17</v>
      </c>
    </row>
    <row r="3" spans="1:24">
      <c r="A3" t="s">
        <v>0</v>
      </c>
      <c r="F3" t="s">
        <v>0</v>
      </c>
      <c r="K3" t="s">
        <v>0</v>
      </c>
      <c r="P3" t="s">
        <v>0</v>
      </c>
      <c r="U3" t="s">
        <v>0</v>
      </c>
    </row>
    <row r="4" spans="1:24">
      <c r="B4" t="s">
        <v>18</v>
      </c>
      <c r="G4" t="s">
        <v>18</v>
      </c>
      <c r="L4" t="s">
        <v>18</v>
      </c>
      <c r="Q4" t="s">
        <v>18</v>
      </c>
      <c r="V4" t="s">
        <v>18</v>
      </c>
    </row>
    <row r="5" spans="1:24">
      <c r="A5" t="s">
        <v>1</v>
      </c>
      <c r="B5" t="s">
        <v>2</v>
      </c>
      <c r="C5" t="s">
        <v>3</v>
      </c>
      <c r="D5" t="s">
        <v>19</v>
      </c>
      <c r="F5" t="s">
        <v>1</v>
      </c>
      <c r="G5" t="s">
        <v>2</v>
      </c>
      <c r="H5" t="s">
        <v>3</v>
      </c>
      <c r="I5" t="s">
        <v>19</v>
      </c>
      <c r="K5" t="s">
        <v>1</v>
      </c>
      <c r="L5" t="s">
        <v>2</v>
      </c>
      <c r="M5" t="s">
        <v>3</v>
      </c>
      <c r="N5" t="s">
        <v>19</v>
      </c>
      <c r="P5" t="s">
        <v>1</v>
      </c>
      <c r="Q5" t="s">
        <v>2</v>
      </c>
      <c r="R5" t="s">
        <v>3</v>
      </c>
      <c r="S5" t="s">
        <v>19</v>
      </c>
      <c r="U5" t="s">
        <v>1</v>
      </c>
      <c r="V5" t="s">
        <v>2</v>
      </c>
      <c r="W5" t="s">
        <v>3</v>
      </c>
      <c r="X5" t="s">
        <v>19</v>
      </c>
    </row>
    <row r="6" spans="1:24">
      <c r="A6" t="s">
        <v>4</v>
      </c>
      <c r="B6" s="1">
        <v>5</v>
      </c>
      <c r="C6" s="2">
        <v>3</v>
      </c>
      <c r="D6" s="18">
        <v>3</v>
      </c>
      <c r="F6" t="s">
        <v>4</v>
      </c>
      <c r="G6" s="1">
        <v>5</v>
      </c>
      <c r="H6" s="2">
        <v>3</v>
      </c>
      <c r="I6" s="18">
        <v>3</v>
      </c>
      <c r="K6" t="s">
        <v>4</v>
      </c>
      <c r="L6" s="1">
        <v>5</v>
      </c>
      <c r="M6" s="2">
        <v>3</v>
      </c>
      <c r="N6" s="18">
        <v>3</v>
      </c>
      <c r="P6" t="s">
        <v>4</v>
      </c>
      <c r="Q6" s="1">
        <v>5</v>
      </c>
      <c r="R6" s="2">
        <v>3</v>
      </c>
      <c r="S6" s="18">
        <v>3</v>
      </c>
      <c r="U6" t="s">
        <v>4</v>
      </c>
      <c r="V6" s="1">
        <v>5</v>
      </c>
      <c r="W6" s="2">
        <v>3</v>
      </c>
      <c r="X6" s="18">
        <v>3</v>
      </c>
    </row>
    <row r="7" spans="1:24">
      <c r="A7" t="s">
        <v>5</v>
      </c>
      <c r="B7" s="3">
        <v>4</v>
      </c>
      <c r="C7" s="4">
        <v>4</v>
      </c>
      <c r="D7" s="19">
        <v>0</v>
      </c>
      <c r="F7" t="s">
        <v>5</v>
      </c>
      <c r="G7" s="3">
        <v>4</v>
      </c>
      <c r="H7" s="4">
        <v>4</v>
      </c>
      <c r="I7" s="19">
        <v>0</v>
      </c>
      <c r="K7" t="s">
        <v>5</v>
      </c>
      <c r="L7" s="3">
        <v>4</v>
      </c>
      <c r="M7" s="4">
        <v>4</v>
      </c>
      <c r="N7" s="19">
        <v>0</v>
      </c>
      <c r="P7" t="s">
        <v>5</v>
      </c>
      <c r="Q7" s="3">
        <v>4</v>
      </c>
      <c r="R7" s="4">
        <v>4</v>
      </c>
      <c r="S7" s="19">
        <v>0</v>
      </c>
      <c r="U7" t="s">
        <v>5</v>
      </c>
      <c r="V7" s="3">
        <v>4</v>
      </c>
      <c r="W7" s="4">
        <v>4</v>
      </c>
      <c r="X7" s="19">
        <v>0</v>
      </c>
    </row>
    <row r="8" spans="1:24">
      <c r="A8" t="s">
        <v>6</v>
      </c>
      <c r="B8" s="5">
        <v>4</v>
      </c>
      <c r="C8" s="6">
        <v>0</v>
      </c>
      <c r="D8" s="20">
        <v>2</v>
      </c>
      <c r="F8" t="s">
        <v>6</v>
      </c>
      <c r="G8" s="5">
        <v>4</v>
      </c>
      <c r="H8" s="6">
        <v>0</v>
      </c>
      <c r="I8" s="20">
        <v>2</v>
      </c>
      <c r="K8" t="s">
        <v>6</v>
      </c>
      <c r="L8" s="5">
        <v>4</v>
      </c>
      <c r="M8" s="6">
        <v>0</v>
      </c>
      <c r="N8" s="20">
        <v>2</v>
      </c>
      <c r="P8" t="s">
        <v>6</v>
      </c>
      <c r="Q8" s="5">
        <v>4</v>
      </c>
      <c r="R8" s="6">
        <v>0</v>
      </c>
      <c r="S8" s="20">
        <v>2</v>
      </c>
      <c r="U8" t="s">
        <v>6</v>
      </c>
      <c r="V8" s="5">
        <v>4</v>
      </c>
      <c r="W8" s="6">
        <v>0</v>
      </c>
      <c r="X8" s="20">
        <v>2</v>
      </c>
    </row>
    <row r="10" spans="1:24">
      <c r="A10" t="s">
        <v>7</v>
      </c>
      <c r="B10" s="7">
        <v>30</v>
      </c>
      <c r="C10" s="8">
        <v>20</v>
      </c>
      <c r="D10" s="17">
        <v>16</v>
      </c>
      <c r="F10" t="s">
        <v>7</v>
      </c>
      <c r="G10" s="7">
        <v>31</v>
      </c>
      <c r="H10" s="8">
        <v>20</v>
      </c>
      <c r="I10" s="17">
        <v>16</v>
      </c>
      <c r="K10" t="s">
        <v>7</v>
      </c>
      <c r="L10" s="7">
        <v>30</v>
      </c>
      <c r="M10" s="8">
        <v>19</v>
      </c>
      <c r="N10" s="17">
        <v>16</v>
      </c>
      <c r="P10" t="s">
        <v>7</v>
      </c>
      <c r="Q10" s="7">
        <v>30</v>
      </c>
      <c r="R10" s="8">
        <v>20</v>
      </c>
      <c r="S10" s="17">
        <v>19</v>
      </c>
      <c r="U10" t="s">
        <v>7</v>
      </c>
      <c r="V10" s="7">
        <v>30</v>
      </c>
      <c r="W10" s="8">
        <v>20</v>
      </c>
      <c r="X10" s="17">
        <v>16</v>
      </c>
    </row>
    <row r="12" spans="1:24">
      <c r="A12" t="s">
        <v>8</v>
      </c>
      <c r="F12" t="s">
        <v>8</v>
      </c>
      <c r="K12" t="s">
        <v>8</v>
      </c>
      <c r="P12" t="s">
        <v>8</v>
      </c>
      <c r="U12" t="s">
        <v>8</v>
      </c>
    </row>
    <row r="13" spans="1:24">
      <c r="B13" t="s">
        <v>9</v>
      </c>
      <c r="C13" t="s">
        <v>10</v>
      </c>
      <c r="D13" t="s">
        <v>20</v>
      </c>
      <c r="G13" t="s">
        <v>9</v>
      </c>
      <c r="H13" t="s">
        <v>10</v>
      </c>
      <c r="I13" t="s">
        <v>20</v>
      </c>
      <c r="L13" t="s">
        <v>9</v>
      </c>
      <c r="M13" t="s">
        <v>10</v>
      </c>
      <c r="N13" t="s">
        <v>20</v>
      </c>
      <c r="Q13" t="s">
        <v>9</v>
      </c>
      <c r="R13" t="s">
        <v>10</v>
      </c>
      <c r="S13" t="s">
        <v>20</v>
      </c>
      <c r="V13" t="s">
        <v>9</v>
      </c>
      <c r="W13" t="s">
        <v>10</v>
      </c>
      <c r="X13" t="s">
        <v>20</v>
      </c>
    </row>
    <row r="14" spans="1:24">
      <c r="A14" t="s">
        <v>21</v>
      </c>
      <c r="B14" s="9">
        <v>9</v>
      </c>
      <c r="C14" s="10">
        <v>41</v>
      </c>
      <c r="D14" s="16">
        <v>24</v>
      </c>
      <c r="F14" t="s">
        <v>21</v>
      </c>
      <c r="G14" s="9">
        <v>10</v>
      </c>
      <c r="H14" s="10">
        <v>40</v>
      </c>
      <c r="I14" s="16">
        <v>23.333333333333332</v>
      </c>
      <c r="K14" t="s">
        <v>21</v>
      </c>
      <c r="L14" s="9">
        <v>15</v>
      </c>
      <c r="M14" s="10">
        <v>35</v>
      </c>
      <c r="N14" s="16">
        <v>20</v>
      </c>
      <c r="P14" t="s">
        <v>21</v>
      </c>
      <c r="Q14" s="9">
        <v>10</v>
      </c>
      <c r="R14" s="10">
        <v>40</v>
      </c>
      <c r="S14" s="16">
        <v>23.333333333333332</v>
      </c>
      <c r="U14" t="s">
        <v>21</v>
      </c>
      <c r="V14" s="9">
        <v>11</v>
      </c>
      <c r="W14" s="10">
        <v>39</v>
      </c>
      <c r="X14" s="16">
        <v>22.666666666666668</v>
      </c>
    </row>
    <row r="16" spans="1:24">
      <c r="A16" t="s">
        <v>11</v>
      </c>
      <c r="F16" t="s">
        <v>11</v>
      </c>
      <c r="K16" t="s">
        <v>11</v>
      </c>
      <c r="P16" t="s">
        <v>11</v>
      </c>
      <c r="U16" t="s">
        <v>11</v>
      </c>
    </row>
    <row r="17" spans="1:24">
      <c r="A17" t="s">
        <v>12</v>
      </c>
      <c r="B17" s="11">
        <f>SUMPRODUCT(B10:C10:D10,B14:C14:D14)</f>
        <v>1474</v>
      </c>
      <c r="C17" t="s">
        <v>22</v>
      </c>
      <c r="F17" t="s">
        <v>12</v>
      </c>
      <c r="G17" s="11">
        <f>SUMPRODUCT(G10:H10:I10,G14:H14:I14)</f>
        <v>1483.3333333333333</v>
      </c>
      <c r="H17" t="s">
        <v>22</v>
      </c>
      <c r="K17" t="s">
        <v>12</v>
      </c>
      <c r="L17" s="11">
        <f>SUMPRODUCT(L10:M10:N10,L14:M14:N14)</f>
        <v>1435</v>
      </c>
      <c r="M17" t="s">
        <v>22</v>
      </c>
      <c r="P17" t="s">
        <v>12</v>
      </c>
      <c r="Q17" s="11">
        <f>SUMPRODUCT(Q10:R10:S10,Q14:R14:S14)</f>
        <v>1543.3333333333333</v>
      </c>
      <c r="R17" t="s">
        <v>22</v>
      </c>
      <c r="U17" t="s">
        <v>12</v>
      </c>
      <c r="V17" s="11">
        <f>SUMPRODUCT(V10:W10:X10,V14:W14:X14)</f>
        <v>1472.6666666666667</v>
      </c>
      <c r="W17" t="s">
        <v>22</v>
      </c>
    </row>
    <row r="19" spans="1:24">
      <c r="A19" t="s">
        <v>13</v>
      </c>
      <c r="B19" s="12">
        <f>SUMPRODUCT(B6:C6:D6, $B$14:$C$14:$D$14)</f>
        <v>240</v>
      </c>
      <c r="C19" t="s">
        <v>14</v>
      </c>
      <c r="D19" s="12">
        <v>240</v>
      </c>
      <c r="F19" t="s">
        <v>13</v>
      </c>
      <c r="G19" s="12">
        <f>SUMPRODUCT(G6:H6:I6, $B$14:$C$14:$D$14)</f>
        <v>240</v>
      </c>
      <c r="H19" t="s">
        <v>14</v>
      </c>
      <c r="I19" s="12">
        <v>240</v>
      </c>
      <c r="K19" t="s">
        <v>13</v>
      </c>
      <c r="L19" s="12">
        <f>SUMPRODUCT(L6:M6:N6, $B$14:$C$14:$D$14)</f>
        <v>240</v>
      </c>
      <c r="M19" t="s">
        <v>14</v>
      </c>
      <c r="N19" s="12">
        <v>240</v>
      </c>
      <c r="P19" t="s">
        <v>13</v>
      </c>
      <c r="Q19" s="12">
        <f>SUMPRODUCT(Q6:R6:S6, $B$14:$C$14:$D$14)</f>
        <v>240</v>
      </c>
      <c r="R19" t="s">
        <v>14</v>
      </c>
      <c r="S19" s="12">
        <v>240</v>
      </c>
      <c r="U19" t="s">
        <v>13</v>
      </c>
      <c r="V19" s="12">
        <f>SUMPRODUCT(V6:W6:X6, $B$14:$C$14:$D$14)</f>
        <v>240</v>
      </c>
      <c r="W19" t="s">
        <v>14</v>
      </c>
      <c r="X19" s="12">
        <v>240</v>
      </c>
    </row>
    <row r="20" spans="1:24">
      <c r="A20" t="s">
        <v>15</v>
      </c>
      <c r="B20" s="12">
        <f>SUMPRODUCT(B7:C7:D7, $B$14:$C$14:$D$14)</f>
        <v>200</v>
      </c>
      <c r="C20" t="s">
        <v>14</v>
      </c>
      <c r="D20" s="13">
        <v>200</v>
      </c>
      <c r="F20" t="s">
        <v>15</v>
      </c>
      <c r="G20" s="12">
        <f>SUMPRODUCT(G7:H7:I7, $B$14:$C$14:$D$14)</f>
        <v>200</v>
      </c>
      <c r="H20" t="s">
        <v>14</v>
      </c>
      <c r="I20" s="13">
        <v>200</v>
      </c>
      <c r="K20" t="s">
        <v>15</v>
      </c>
      <c r="L20" s="12">
        <f>SUMPRODUCT(L7:M7:N7, $B$14:$C$14:$D$14)</f>
        <v>200</v>
      </c>
      <c r="M20" t="s">
        <v>14</v>
      </c>
      <c r="N20" s="13">
        <v>200</v>
      </c>
      <c r="P20" t="s">
        <v>15</v>
      </c>
      <c r="Q20" s="12">
        <f>SUMPRODUCT(Q7:R7:S7, $B$14:$C$14:$D$14)</f>
        <v>200</v>
      </c>
      <c r="R20" t="s">
        <v>14</v>
      </c>
      <c r="S20" s="13">
        <v>200</v>
      </c>
      <c r="U20" t="s">
        <v>15</v>
      </c>
      <c r="V20" s="12">
        <f>SUMPRODUCT(V7:W7:X7, $B$14:$C$14:$D$14)</f>
        <v>200</v>
      </c>
      <c r="W20" t="s">
        <v>14</v>
      </c>
      <c r="X20" s="13">
        <v>200</v>
      </c>
    </row>
    <row r="21" spans="1:24">
      <c r="A21" t="s">
        <v>16</v>
      </c>
      <c r="B21" s="12">
        <f>SUMPRODUCT(B8:C8:D8, $B$14:$C$14:$D$14)</f>
        <v>84</v>
      </c>
      <c r="C21" t="s">
        <v>14</v>
      </c>
      <c r="D21" s="13">
        <v>100</v>
      </c>
      <c r="F21" t="s">
        <v>16</v>
      </c>
      <c r="G21" s="12">
        <f>SUMPRODUCT(G8:H8:I8, $B$14:$C$14:$D$14)</f>
        <v>84</v>
      </c>
      <c r="H21" t="s">
        <v>14</v>
      </c>
      <c r="I21" s="13">
        <v>100</v>
      </c>
      <c r="K21" t="s">
        <v>16</v>
      </c>
      <c r="L21" s="12">
        <f>SUMPRODUCT(L8:M8:N8, $B$14:$C$14:$D$14)</f>
        <v>84</v>
      </c>
      <c r="M21" t="s">
        <v>14</v>
      </c>
      <c r="N21" s="13">
        <v>100</v>
      </c>
      <c r="P21" t="s">
        <v>16</v>
      </c>
      <c r="Q21" s="12">
        <f>SUMPRODUCT(Q8:R8:S8, $B$14:$C$14:$D$14)</f>
        <v>84</v>
      </c>
      <c r="R21" t="s">
        <v>14</v>
      </c>
      <c r="S21" s="13">
        <v>100</v>
      </c>
      <c r="U21" t="s">
        <v>16</v>
      </c>
      <c r="V21" s="12">
        <f>SUMPRODUCT(V8:W8:X8, $B$14:$C$14:$D$14)</f>
        <v>84</v>
      </c>
      <c r="W21" t="s">
        <v>14</v>
      </c>
      <c r="X21" s="13">
        <v>100</v>
      </c>
    </row>
    <row r="22" spans="1:24">
      <c r="A22" t="s">
        <v>10</v>
      </c>
      <c r="B22" s="14">
        <f>C14</f>
        <v>41</v>
      </c>
      <c r="C22" t="s">
        <v>14</v>
      </c>
      <c r="D22" s="14">
        <v>41</v>
      </c>
      <c r="F22" t="s">
        <v>10</v>
      </c>
      <c r="G22" s="14">
        <f>H14</f>
        <v>40</v>
      </c>
      <c r="H22" t="s">
        <v>14</v>
      </c>
      <c r="I22" s="14">
        <v>40</v>
      </c>
      <c r="K22" t="s">
        <v>10</v>
      </c>
      <c r="L22" s="14">
        <f>M14</f>
        <v>35</v>
      </c>
      <c r="M22" t="s">
        <v>14</v>
      </c>
      <c r="N22" s="14">
        <v>40</v>
      </c>
      <c r="P22" t="s">
        <v>10</v>
      </c>
      <c r="Q22" s="14">
        <f>R14</f>
        <v>40</v>
      </c>
      <c r="R22" t="s">
        <v>14</v>
      </c>
      <c r="S22" s="14">
        <v>40</v>
      </c>
      <c r="U22" t="s">
        <v>10</v>
      </c>
      <c r="V22" s="14">
        <f>W14</f>
        <v>39</v>
      </c>
      <c r="W22" t="s">
        <v>14</v>
      </c>
      <c r="X22" s="14">
        <v>41</v>
      </c>
    </row>
    <row r="24" spans="1:24">
      <c r="F24" t="s">
        <v>116</v>
      </c>
      <c r="K24" t="s">
        <v>117</v>
      </c>
      <c r="P24" t="s">
        <v>118</v>
      </c>
    </row>
    <row r="26" spans="1:24">
      <c r="F26" t="s">
        <v>111</v>
      </c>
      <c r="K26" t="s">
        <v>113</v>
      </c>
      <c r="P26" t="s">
        <v>121</v>
      </c>
    </row>
    <row r="27" spans="1:24">
      <c r="F27" t="s">
        <v>112</v>
      </c>
      <c r="K27" t="s">
        <v>114</v>
      </c>
      <c r="P27" t="s">
        <v>120</v>
      </c>
    </row>
    <row r="28" spans="1:24">
      <c r="K28" t="s">
        <v>115</v>
      </c>
      <c r="P28" t="s">
        <v>119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86B9-285A-1C42-AC33-FA3FC8706064}">
  <dimension ref="A1:G31"/>
  <sheetViews>
    <sheetView showGridLines="0" topLeftCell="A11" workbookViewId="0"/>
  </sheetViews>
  <sheetFormatPr baseColWidth="10" defaultRowHeight="18"/>
  <cols>
    <col min="1" max="1" width="2.28515625" customWidth="1"/>
    <col min="2" max="2" width="6.7109375" bestFit="1" customWidth="1"/>
    <col min="3" max="3" width="27.140625" bestFit="1" customWidth="1"/>
    <col min="4" max="4" width="12.7109375" bestFit="1" customWidth="1"/>
    <col min="5" max="5" width="14.42578125" bestFit="1" customWidth="1"/>
    <col min="6" max="6" width="10.85546875" bestFit="1" customWidth="1"/>
    <col min="7" max="7" width="12.7109375" bestFit="1" customWidth="1"/>
  </cols>
  <sheetData>
    <row r="1" spans="1:5">
      <c r="A1" s="21" t="s">
        <v>23</v>
      </c>
    </row>
    <row r="2" spans="1:5">
      <c r="A2" s="21" t="s">
        <v>106</v>
      </c>
    </row>
    <row r="3" spans="1:5">
      <c r="A3" s="21" t="s">
        <v>107</v>
      </c>
    </row>
    <row r="4" spans="1:5">
      <c r="A4" s="21" t="s">
        <v>24</v>
      </c>
    </row>
    <row r="5" spans="1:5">
      <c r="A5" s="21" t="s">
        <v>25</v>
      </c>
    </row>
    <row r="6" spans="1:5">
      <c r="A6" s="21"/>
      <c r="B6" t="s">
        <v>26</v>
      </c>
    </row>
    <row r="7" spans="1:5">
      <c r="A7" s="21"/>
      <c r="B7" t="s">
        <v>108</v>
      </c>
    </row>
    <row r="8" spans="1:5">
      <c r="A8" s="21"/>
      <c r="B8" t="s">
        <v>109</v>
      </c>
    </row>
    <row r="9" spans="1:5">
      <c r="A9" s="21" t="s">
        <v>27</v>
      </c>
    </row>
    <row r="10" spans="1:5">
      <c r="B10" t="s">
        <v>66</v>
      </c>
    </row>
    <row r="11" spans="1:5">
      <c r="B11" t="s">
        <v>28</v>
      </c>
    </row>
    <row r="14" spans="1:5" ht="19" thickBot="1">
      <c r="A14" t="s">
        <v>29</v>
      </c>
    </row>
    <row r="15" spans="1:5" ht="19" thickBot="1">
      <c r="B15" s="23" t="s">
        <v>30</v>
      </c>
      <c r="C15" s="23" t="s">
        <v>31</v>
      </c>
      <c r="D15" s="23" t="s">
        <v>32</v>
      </c>
      <c r="E15" s="23" t="s">
        <v>33</v>
      </c>
    </row>
    <row r="16" spans="1:5" ht="19" thickBot="1">
      <c r="B16" s="22" t="s">
        <v>41</v>
      </c>
      <c r="C16" s="22" t="s">
        <v>42</v>
      </c>
      <c r="D16" s="26">
        <v>0</v>
      </c>
      <c r="E16" s="26">
        <v>1473.3333333333333</v>
      </c>
    </row>
    <row r="19" spans="1:7" ht="19" thickBot="1">
      <c r="A19" t="s">
        <v>34</v>
      </c>
    </row>
    <row r="20" spans="1:7" ht="19" thickBot="1">
      <c r="B20" s="23" t="s">
        <v>30</v>
      </c>
      <c r="C20" s="23" t="s">
        <v>31</v>
      </c>
      <c r="D20" s="23" t="s">
        <v>32</v>
      </c>
      <c r="E20" s="23" t="s">
        <v>33</v>
      </c>
      <c r="F20" s="23" t="s">
        <v>35</v>
      </c>
    </row>
    <row r="21" spans="1:7">
      <c r="B21" s="25" t="s">
        <v>43</v>
      </c>
      <c r="C21" s="25" t="s">
        <v>44</v>
      </c>
      <c r="D21" s="27">
        <v>0</v>
      </c>
      <c r="E21" s="27">
        <v>10</v>
      </c>
      <c r="F21" s="25" t="s">
        <v>45</v>
      </c>
    </row>
    <row r="22" spans="1:7">
      <c r="B22" s="25" t="s">
        <v>46</v>
      </c>
      <c r="C22" s="25" t="s">
        <v>47</v>
      </c>
      <c r="D22" s="27">
        <v>0</v>
      </c>
      <c r="E22" s="27">
        <v>40</v>
      </c>
      <c r="F22" s="25" t="s">
        <v>45</v>
      </c>
    </row>
    <row r="23" spans="1:7" ht="19" thickBot="1">
      <c r="B23" s="22" t="s">
        <v>48</v>
      </c>
      <c r="C23" s="22" t="s">
        <v>49</v>
      </c>
      <c r="D23" s="26">
        <v>0</v>
      </c>
      <c r="E23" s="26">
        <v>23.333333333333332</v>
      </c>
      <c r="F23" s="22" t="s">
        <v>45</v>
      </c>
    </row>
    <row r="26" spans="1:7" ht="19" thickBot="1">
      <c r="A26" t="s">
        <v>36</v>
      </c>
    </row>
    <row r="27" spans="1:7" ht="19" thickBot="1">
      <c r="B27" s="23" t="s">
        <v>30</v>
      </c>
      <c r="C27" s="23" t="s">
        <v>31</v>
      </c>
      <c r="D27" s="23" t="s">
        <v>37</v>
      </c>
      <c r="E27" s="23" t="s">
        <v>38</v>
      </c>
      <c r="F27" s="23" t="s">
        <v>39</v>
      </c>
      <c r="G27" s="23" t="s">
        <v>40</v>
      </c>
    </row>
    <row r="28" spans="1:7">
      <c r="B28" s="25" t="s">
        <v>50</v>
      </c>
      <c r="C28" s="25" t="s">
        <v>51</v>
      </c>
      <c r="D28" s="27">
        <v>240</v>
      </c>
      <c r="E28" s="25" t="s">
        <v>52</v>
      </c>
      <c r="F28" s="25" t="s">
        <v>53</v>
      </c>
      <c r="G28" s="25">
        <v>0</v>
      </c>
    </row>
    <row r="29" spans="1:7">
      <c r="B29" s="25" t="s">
        <v>54</v>
      </c>
      <c r="C29" s="25" t="s">
        <v>55</v>
      </c>
      <c r="D29" s="27">
        <v>200</v>
      </c>
      <c r="E29" s="25" t="s">
        <v>56</v>
      </c>
      <c r="F29" s="25" t="s">
        <v>53</v>
      </c>
      <c r="G29" s="25">
        <v>0</v>
      </c>
    </row>
    <row r="30" spans="1:7">
      <c r="B30" s="25" t="s">
        <v>57</v>
      </c>
      <c r="C30" s="25" t="s">
        <v>58</v>
      </c>
      <c r="D30" s="27">
        <v>86.666666666666657</v>
      </c>
      <c r="E30" s="25" t="s">
        <v>59</v>
      </c>
      <c r="F30" s="25" t="s">
        <v>60</v>
      </c>
      <c r="G30" s="25">
        <v>13.333333333333343</v>
      </c>
    </row>
    <row r="31" spans="1:7" ht="19" thickBot="1">
      <c r="B31" s="22" t="s">
        <v>61</v>
      </c>
      <c r="C31" s="22" t="s">
        <v>62</v>
      </c>
      <c r="D31" s="26">
        <v>40</v>
      </c>
      <c r="E31" s="22" t="s">
        <v>63</v>
      </c>
      <c r="F31" s="22" t="s">
        <v>53</v>
      </c>
      <c r="G31" s="22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84F3-E994-7A46-BAEA-0FED1D1CB893}">
  <dimension ref="A1:L29"/>
  <sheetViews>
    <sheetView showGridLines="0" tabSelected="1" topLeftCell="A7" workbookViewId="0">
      <selection activeCell="D30" sqref="D30"/>
    </sheetView>
  </sheetViews>
  <sheetFormatPr baseColWidth="10" defaultRowHeight="18"/>
  <cols>
    <col min="1" max="1" width="2.28515625" customWidth="1"/>
    <col min="2" max="2" width="7" bestFit="1" customWidth="1"/>
    <col min="3" max="3" width="27.140625" bestFit="1" customWidth="1"/>
    <col min="4" max="5" width="12.7109375" bestFit="1" customWidth="1"/>
    <col min="6" max="6" width="9.140625" bestFit="1" customWidth="1"/>
    <col min="7" max="8" width="12.7109375" bestFit="1" customWidth="1"/>
  </cols>
  <sheetData>
    <row r="1" spans="1:8">
      <c r="A1" s="21" t="s">
        <v>78</v>
      </c>
    </row>
    <row r="2" spans="1:8">
      <c r="A2" s="21" t="s">
        <v>106</v>
      </c>
    </row>
    <row r="3" spans="1:8">
      <c r="A3" s="21" t="s">
        <v>110</v>
      </c>
    </row>
    <row r="6" spans="1:8" ht="19" thickBot="1">
      <c r="A6" t="s">
        <v>34</v>
      </c>
    </row>
    <row r="7" spans="1:8">
      <c r="B7" s="31"/>
      <c r="C7" s="31"/>
      <c r="D7" s="31" t="s">
        <v>79</v>
      </c>
      <c r="E7" s="31" t="s">
        <v>81</v>
      </c>
      <c r="F7" s="31" t="s">
        <v>83</v>
      </c>
      <c r="G7" s="31" t="s">
        <v>85</v>
      </c>
      <c r="H7" s="31" t="s">
        <v>85</v>
      </c>
    </row>
    <row r="8" spans="1:8" ht="19" thickBot="1">
      <c r="B8" s="32" t="s">
        <v>30</v>
      </c>
      <c r="C8" s="32" t="s">
        <v>31</v>
      </c>
      <c r="D8" s="32" t="s">
        <v>80</v>
      </c>
      <c r="E8" s="32" t="s">
        <v>82</v>
      </c>
      <c r="F8" s="32" t="s">
        <v>84</v>
      </c>
      <c r="G8" s="32" t="s">
        <v>86</v>
      </c>
      <c r="H8" s="32" t="s">
        <v>87</v>
      </c>
    </row>
    <row r="9" spans="1:8">
      <c r="B9" s="25" t="s">
        <v>43</v>
      </c>
      <c r="C9" s="25" t="s">
        <v>44</v>
      </c>
      <c r="D9" s="25">
        <v>10</v>
      </c>
      <c r="E9" s="25">
        <v>0</v>
      </c>
      <c r="F9" s="25">
        <v>30</v>
      </c>
      <c r="G9" s="25">
        <v>0.66666666666666663</v>
      </c>
      <c r="H9" s="25">
        <v>3.3333333333333335</v>
      </c>
    </row>
    <row r="10" spans="1:8">
      <c r="B10" s="25" t="s">
        <v>46</v>
      </c>
      <c r="C10" s="25" t="s">
        <v>47</v>
      </c>
      <c r="D10" s="25">
        <v>40</v>
      </c>
      <c r="E10" s="25">
        <v>0</v>
      </c>
      <c r="F10" s="25">
        <v>20</v>
      </c>
      <c r="G10" s="25">
        <v>1E+30</v>
      </c>
      <c r="H10" s="25">
        <v>0.66666666666666663</v>
      </c>
    </row>
    <row r="11" spans="1:8" ht="19" thickBot="1">
      <c r="B11" s="22" t="s">
        <v>48</v>
      </c>
      <c r="C11" s="22" t="s">
        <v>49</v>
      </c>
      <c r="D11" s="22">
        <v>23.333333333333332</v>
      </c>
      <c r="E11" s="22">
        <v>0</v>
      </c>
      <c r="F11" s="22">
        <v>16</v>
      </c>
      <c r="G11" s="22">
        <v>2</v>
      </c>
      <c r="H11" s="22">
        <v>1</v>
      </c>
    </row>
    <row r="13" spans="1:8" ht="19" thickBot="1">
      <c r="A13" t="s">
        <v>36</v>
      </c>
    </row>
    <row r="14" spans="1:8">
      <c r="B14" s="31"/>
      <c r="C14" s="31"/>
      <c r="D14" s="31" t="s">
        <v>79</v>
      </c>
      <c r="E14" s="31" t="s">
        <v>88</v>
      </c>
      <c r="F14" s="31" t="s">
        <v>36</v>
      </c>
      <c r="G14" s="31" t="s">
        <v>85</v>
      </c>
      <c r="H14" s="31" t="s">
        <v>85</v>
      </c>
    </row>
    <row r="15" spans="1:8" ht="19" thickBot="1">
      <c r="B15" s="32" t="s">
        <v>30</v>
      </c>
      <c r="C15" s="32" t="s">
        <v>31</v>
      </c>
      <c r="D15" s="32" t="s">
        <v>80</v>
      </c>
      <c r="E15" s="32" t="s">
        <v>89</v>
      </c>
      <c r="F15" s="32" t="s">
        <v>90</v>
      </c>
      <c r="G15" s="32" t="s">
        <v>86</v>
      </c>
      <c r="H15" s="32" t="s">
        <v>87</v>
      </c>
    </row>
    <row r="16" spans="1:8">
      <c r="B16" s="25" t="s">
        <v>50</v>
      </c>
      <c r="C16" s="25" t="s">
        <v>51</v>
      </c>
      <c r="D16" s="25">
        <v>240</v>
      </c>
      <c r="E16" s="25">
        <v>5.333333333333333</v>
      </c>
      <c r="F16" s="25">
        <v>240</v>
      </c>
      <c r="G16" s="25">
        <v>20</v>
      </c>
      <c r="H16" s="25">
        <v>69.999999999999986</v>
      </c>
    </row>
    <row r="17" spans="2:12">
      <c r="B17" s="25" t="s">
        <v>54</v>
      </c>
      <c r="C17" s="25" t="s">
        <v>55</v>
      </c>
      <c r="D17" s="25">
        <v>200</v>
      </c>
      <c r="E17" s="25">
        <v>0.83333333333333337</v>
      </c>
      <c r="F17" s="25">
        <v>200</v>
      </c>
      <c r="G17" s="25">
        <v>55.999999999999993</v>
      </c>
      <c r="H17" s="25">
        <v>40</v>
      </c>
    </row>
    <row r="18" spans="2:12">
      <c r="B18" s="25" t="s">
        <v>57</v>
      </c>
      <c r="C18" s="25" t="s">
        <v>58</v>
      </c>
      <c r="D18" s="25">
        <v>86.666666666666657</v>
      </c>
      <c r="E18" s="25">
        <v>0</v>
      </c>
      <c r="F18" s="25">
        <v>100</v>
      </c>
      <c r="G18" s="25">
        <v>1E+30</v>
      </c>
      <c r="H18" s="25">
        <v>13.333333333333332</v>
      </c>
    </row>
    <row r="19" spans="2:12" ht="19" thickBot="1">
      <c r="B19" s="22" t="s">
        <v>61</v>
      </c>
      <c r="C19" s="22" t="s">
        <v>62</v>
      </c>
      <c r="D19" s="22">
        <v>40</v>
      </c>
      <c r="E19" s="22">
        <v>0.66666666666666663</v>
      </c>
      <c r="F19" s="22">
        <v>40</v>
      </c>
      <c r="G19" s="22">
        <v>10</v>
      </c>
      <c r="H19" s="22">
        <v>5</v>
      </c>
    </row>
    <row r="22" spans="2:12">
      <c r="D22" t="s">
        <v>130</v>
      </c>
      <c r="F22" t="s">
        <v>127</v>
      </c>
      <c r="H22" t="s">
        <v>128</v>
      </c>
      <c r="J22" t="s">
        <v>129</v>
      </c>
    </row>
    <row r="23" spans="2:12">
      <c r="D23">
        <v>0</v>
      </c>
      <c r="F23" t="s">
        <v>123</v>
      </c>
      <c r="H23">
        <v>0</v>
      </c>
      <c r="J23" t="s">
        <v>122</v>
      </c>
    </row>
    <row r="25" spans="2:12">
      <c r="D25" t="s">
        <v>124</v>
      </c>
      <c r="F25" t="s">
        <v>126</v>
      </c>
      <c r="H25" t="s">
        <v>132</v>
      </c>
      <c r="J25" t="s">
        <v>133</v>
      </c>
      <c r="L25" t="s">
        <v>135</v>
      </c>
    </row>
    <row r="26" spans="2:12">
      <c r="D26" t="s">
        <v>125</v>
      </c>
      <c r="F26" t="s">
        <v>131</v>
      </c>
      <c r="H26">
        <v>0</v>
      </c>
      <c r="J26" t="s">
        <v>134</v>
      </c>
      <c r="L26">
        <v>0</v>
      </c>
    </row>
    <row r="28" spans="2:12">
      <c r="D28" t="s">
        <v>136</v>
      </c>
    </row>
    <row r="29" spans="2:12">
      <c r="D29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1.&lt;스프레드시트 모형&gt;</vt:lpstr>
      <vt:lpstr>해답 보고서 2</vt:lpstr>
      <vt:lpstr>2.&lt;민감도 분석&gt;</vt:lpstr>
      <vt:lpstr>민감도 보고서 2</vt:lpstr>
      <vt:lpstr>실습문제2</vt:lpstr>
      <vt:lpstr>해답 보고서 1</vt:lpstr>
      <vt:lpstr>민감도 보고서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2020-03-31T11:45:11Z</dcterms:created>
  <dcterms:modified xsi:type="dcterms:W3CDTF">2020-04-03T13:59:56Z</dcterms:modified>
</cp:coreProperties>
</file>