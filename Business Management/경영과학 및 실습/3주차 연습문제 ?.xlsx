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내 드라이브/4.Business/1.1 대학생활/3학년 1학기/2) 경영과학2/"/>
    </mc:Choice>
  </mc:AlternateContent>
  <xr:revisionPtr revIDLastSave="0" documentId="13_ncr:1_{E95B171D-46E3-4340-8D05-1D82462E7FE7}" xr6:coauthVersionLast="46" xr6:coauthVersionMax="46" xr10:uidLastSave="{00000000-0000-0000-0000-000000000000}"/>
  <bookViews>
    <workbookView xWindow="0" yWindow="1740" windowWidth="22680" windowHeight="15040" activeTab="1" xr2:uid="{C92F65B8-47E5-1C49-85B8-112FE24B9C64}"/>
  </bookViews>
  <sheets>
    <sheet name="연습문제 6.21" sheetId="1" r:id="rId1"/>
    <sheet name="연습문제 6.23" sheetId="2" r:id="rId2"/>
  </sheets>
  <definedNames>
    <definedName name="solver_adj" localSheetId="0" hidden="1">'연습문제 6.21'!$B$20:$E$20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'연습문제 6.21'!$B$23</definedName>
    <definedName name="solver_lhs2" localSheetId="0" hidden="1">'연습문제 6.21'!$B$24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opt" localSheetId="0" hidden="1">'연습문제 6.21'!$F$20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hs1" localSheetId="0" hidden="1">'연습문제 6.21'!$D$23</definedName>
    <definedName name="solver_rhs2" localSheetId="0" hidden="1">'연습문제 6.21'!$D$24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" l="1"/>
  <c r="D17" i="2"/>
  <c r="E17" i="2"/>
  <c r="C20" i="2"/>
  <c r="D20" i="2"/>
  <c r="E20" i="2"/>
  <c r="F18" i="2"/>
  <c r="F19" i="2"/>
  <c r="B38" i="2" s="1"/>
  <c r="B13" i="2"/>
  <c r="C13" i="2"/>
  <c r="D13" i="2"/>
  <c r="E13" i="2"/>
  <c r="B14" i="2"/>
  <c r="C14" i="2"/>
  <c r="D14" i="2"/>
  <c r="E14" i="2"/>
  <c r="C12" i="2"/>
  <c r="D12" i="2"/>
  <c r="E12" i="2"/>
  <c r="B24" i="1"/>
  <c r="B23" i="1"/>
  <c r="F20" i="1"/>
  <c r="F16" i="1"/>
  <c r="F17" i="1"/>
  <c r="F18" i="1"/>
  <c r="F15" i="1"/>
  <c r="B17" i="2"/>
  <c r="B20" i="2" s="1"/>
  <c r="F17" i="2" l="1"/>
  <c r="B12" i="2"/>
</calcChain>
</file>

<file path=xl/sharedStrings.xml><?xml version="1.0" encoding="utf-8"?>
<sst xmlns="http://schemas.openxmlformats.org/spreadsheetml/2006/main" count="78" uniqueCount="43">
  <si>
    <t>고가 소방차 입지선정 문제</t>
    <phoneticPr fontId="1" type="noConversion"/>
  </si>
  <si>
    <t>출동시간(분)</t>
    <phoneticPr fontId="1" type="noConversion"/>
  </si>
  <si>
    <t>파출구역</t>
    <phoneticPr fontId="1" type="noConversion"/>
  </si>
  <si>
    <t>입지행렬(=1, 출동가능하면)</t>
    <phoneticPr fontId="1" type="noConversion"/>
  </si>
  <si>
    <t>(=0, 아니면)</t>
    <phoneticPr fontId="1" type="noConversion"/>
  </si>
  <si>
    <t>담당 고층건물수</t>
    <phoneticPr fontId="1" type="noConversion"/>
  </si>
  <si>
    <t>입지선정변수</t>
    <phoneticPr fontId="1" type="noConversion"/>
  </si>
  <si>
    <t>총 담당 고층건물수</t>
    <phoneticPr fontId="1" type="noConversion"/>
  </si>
  <si>
    <t>제약조건</t>
    <phoneticPr fontId="1" type="noConversion"/>
  </si>
  <si>
    <t>수식</t>
    <phoneticPr fontId="1" type="noConversion"/>
  </si>
  <si>
    <t>가용값</t>
    <phoneticPr fontId="1" type="noConversion"/>
  </si>
  <si>
    <t>고가 소방차 대수</t>
    <phoneticPr fontId="1" type="noConversion"/>
  </si>
  <si>
    <t>구역1 및 구역2</t>
    <phoneticPr fontId="1" type="noConversion"/>
  </si>
  <si>
    <t>=</t>
    <phoneticPr fontId="1" type="noConversion"/>
  </si>
  <si>
    <t>&lt;=</t>
    <phoneticPr fontId="1" type="noConversion"/>
  </si>
  <si>
    <t>입력자료</t>
    <phoneticPr fontId="1" type="noConversion"/>
  </si>
  <si>
    <t>빌딩1</t>
    <phoneticPr fontId="1" type="noConversion"/>
  </si>
  <si>
    <t>빌딩2</t>
    <phoneticPr fontId="1" type="noConversion"/>
  </si>
  <si>
    <t>빌딩4</t>
    <phoneticPr fontId="1" type="noConversion"/>
  </si>
  <si>
    <t>시멘트 공급단가</t>
    <phoneticPr fontId="1" type="noConversion"/>
  </si>
  <si>
    <t>시멘트 회사 1</t>
    <phoneticPr fontId="1" type="noConversion"/>
  </si>
  <si>
    <t>시멘트 회사 2</t>
    <phoneticPr fontId="1" type="noConversion"/>
  </si>
  <si>
    <t>시멘트 회사 3</t>
    <phoneticPr fontId="1" type="noConversion"/>
  </si>
  <si>
    <t>수요량</t>
    <phoneticPr fontId="1" type="noConversion"/>
  </si>
  <si>
    <t>최대 공급량</t>
    <phoneticPr fontId="1" type="noConversion"/>
  </si>
  <si>
    <t>모형</t>
    <phoneticPr fontId="1" type="noConversion"/>
  </si>
  <si>
    <t>(=2진수)</t>
    <phoneticPr fontId="1" type="noConversion"/>
  </si>
  <si>
    <t>회사별 최대 공급량</t>
    <phoneticPr fontId="1" type="noConversion"/>
  </si>
  <si>
    <t>최소화</t>
    <phoneticPr fontId="1" type="noConversion"/>
  </si>
  <si>
    <t>빌딩3</t>
    <phoneticPr fontId="1" type="noConversion"/>
  </si>
  <si>
    <t>시멘트 계약 총비용</t>
    <phoneticPr fontId="1" type="noConversion"/>
  </si>
  <si>
    <t>회사별 총 공급량</t>
    <phoneticPr fontId="1" type="noConversion"/>
  </si>
  <si>
    <t>시멘트 주문량 변수</t>
    <phoneticPr fontId="1" type="noConversion"/>
  </si>
  <si>
    <t>제한조건</t>
    <phoneticPr fontId="1" type="noConversion"/>
  </si>
  <si>
    <t>&gt;=</t>
    <phoneticPr fontId="1" type="noConversion"/>
  </si>
  <si>
    <t>조건 a</t>
    <phoneticPr fontId="1" type="noConversion"/>
  </si>
  <si>
    <t>총 주문량</t>
    <phoneticPr fontId="1" type="noConversion"/>
  </si>
  <si>
    <t>조건 b</t>
    <phoneticPr fontId="1" type="noConversion"/>
  </si>
  <si>
    <t>조건 c</t>
    <phoneticPr fontId="1" type="noConversion"/>
  </si>
  <si>
    <t>시멘트 회사 1 주문량</t>
    <phoneticPr fontId="1" type="noConversion"/>
  </si>
  <si>
    <t>회사 1 계약변수</t>
    <phoneticPr fontId="1" type="noConversion"/>
  </si>
  <si>
    <t>회사 2 주문량</t>
    <phoneticPr fontId="1" type="noConversion"/>
  </si>
  <si>
    <t>회사 2 계약초과변수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</si>
</sst>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9" xfId="0" applyBorder="1">
      <alignment vertical="center"/>
    </xf>
    <xf numFmtId="0" fontId="0" fillId="0" borderId="0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4123-39E2-5E4A-8968-F90023DC595B}">
  <dimension ref="A1:G24"/>
  <sheetViews>
    <sheetView workbookViewId="0">
      <selection activeCell="F20" sqref="F20"/>
    </sheetView>
  </sheetViews>
  <sheetFormatPr baseColWidth="10" defaultRowHeight="18"/>
  <cols>
    <col min="1" max="1" width="14.140625" customWidth="1"/>
  </cols>
  <sheetData>
    <row r="1" spans="1:6">
      <c r="A1" t="s">
        <v>0</v>
      </c>
    </row>
    <row r="3" spans="1:6">
      <c r="A3" t="s">
        <v>1</v>
      </c>
    </row>
    <row r="4" spans="1:6">
      <c r="B4" s="1" t="s">
        <v>2</v>
      </c>
      <c r="C4" s="1"/>
      <c r="D4" s="1"/>
      <c r="E4" s="1"/>
    </row>
    <row r="5" spans="1:6">
      <c r="A5" t="s">
        <v>2</v>
      </c>
      <c r="B5">
        <v>1</v>
      </c>
      <c r="C5">
        <v>2</v>
      </c>
      <c r="D5">
        <v>3</v>
      </c>
      <c r="E5">
        <v>4</v>
      </c>
    </row>
    <row r="6" spans="1:6">
      <c r="A6">
        <v>1</v>
      </c>
      <c r="B6" s="2">
        <v>0</v>
      </c>
      <c r="C6" s="3">
        <v>2</v>
      </c>
      <c r="D6" s="3">
        <v>1</v>
      </c>
      <c r="E6" s="4">
        <v>6</v>
      </c>
    </row>
    <row r="7" spans="1:6">
      <c r="A7">
        <v>2</v>
      </c>
      <c r="B7" s="5">
        <v>2</v>
      </c>
      <c r="C7" s="6">
        <v>0</v>
      </c>
      <c r="D7" s="6">
        <v>4</v>
      </c>
      <c r="E7" s="7">
        <v>5</v>
      </c>
    </row>
    <row r="8" spans="1:6">
      <c r="A8">
        <v>3</v>
      </c>
      <c r="B8" s="5">
        <v>1</v>
      </c>
      <c r="C8" s="6">
        <v>4</v>
      </c>
      <c r="D8" s="6">
        <v>0</v>
      </c>
      <c r="E8" s="7">
        <v>1</v>
      </c>
    </row>
    <row r="9" spans="1:6">
      <c r="A9">
        <v>4</v>
      </c>
      <c r="B9" s="8">
        <v>6</v>
      </c>
      <c r="C9" s="9">
        <v>5</v>
      </c>
      <c r="D9" s="9">
        <v>1</v>
      </c>
      <c r="E9" s="10">
        <v>0</v>
      </c>
    </row>
    <row r="10" spans="1:6">
      <c r="B10">
        <v>50</v>
      </c>
      <c r="C10">
        <v>90</v>
      </c>
      <c r="D10">
        <v>60</v>
      </c>
      <c r="E10">
        <v>70</v>
      </c>
    </row>
    <row r="12" spans="1:6">
      <c r="A12" t="s">
        <v>3</v>
      </c>
    </row>
    <row r="13" spans="1:6">
      <c r="A13" t="s">
        <v>4</v>
      </c>
      <c r="B13" s="1" t="s">
        <v>2</v>
      </c>
      <c r="C13" s="1"/>
      <c r="D13" s="1"/>
      <c r="E13" s="1"/>
    </row>
    <row r="14" spans="1:6">
      <c r="A14" t="s">
        <v>2</v>
      </c>
      <c r="B14">
        <v>1</v>
      </c>
      <c r="C14">
        <v>2</v>
      </c>
      <c r="D14">
        <v>3</v>
      </c>
      <c r="E14">
        <v>4</v>
      </c>
      <c r="F14" t="s">
        <v>5</v>
      </c>
    </row>
    <row r="15" spans="1:6">
      <c r="A15">
        <v>1</v>
      </c>
      <c r="B15" s="2">
        <v>0</v>
      </c>
      <c r="C15" s="3">
        <v>0</v>
      </c>
      <c r="D15" s="3">
        <v>0</v>
      </c>
      <c r="E15" s="4">
        <v>1</v>
      </c>
      <c r="F15">
        <f>SUMPRODUCT($B$10:$E$10,B15:E15)</f>
        <v>70</v>
      </c>
    </row>
    <row r="16" spans="1:6">
      <c r="A16">
        <v>2</v>
      </c>
      <c r="B16" s="5">
        <v>0</v>
      </c>
      <c r="C16" s="6">
        <v>0</v>
      </c>
      <c r="D16" s="6">
        <v>1</v>
      </c>
      <c r="E16" s="7">
        <v>0</v>
      </c>
      <c r="F16">
        <f t="shared" ref="F16:F18" si="0">SUMPRODUCT($B$10:$E$10,B16:E16)</f>
        <v>60</v>
      </c>
    </row>
    <row r="17" spans="1:7">
      <c r="A17">
        <v>3</v>
      </c>
      <c r="B17" s="5">
        <v>0</v>
      </c>
      <c r="C17" s="6">
        <v>1</v>
      </c>
      <c r="D17" s="17">
        <v>0</v>
      </c>
      <c r="E17" s="7">
        <v>0</v>
      </c>
      <c r="F17">
        <f t="shared" si="0"/>
        <v>90</v>
      </c>
    </row>
    <row r="18" spans="1:7">
      <c r="A18">
        <v>4</v>
      </c>
      <c r="B18" s="8">
        <v>1</v>
      </c>
      <c r="C18" s="9">
        <v>1</v>
      </c>
      <c r="D18" s="9">
        <v>0</v>
      </c>
      <c r="E18" s="10">
        <v>0</v>
      </c>
      <c r="F18">
        <f t="shared" si="0"/>
        <v>140</v>
      </c>
    </row>
    <row r="19" spans="1:7" ht="19" thickBot="1"/>
    <row r="20" spans="1:7" ht="19" thickBot="1">
      <c r="A20" t="s">
        <v>6</v>
      </c>
      <c r="B20" s="11">
        <v>0</v>
      </c>
      <c r="C20" s="12">
        <v>1</v>
      </c>
      <c r="D20" s="12">
        <v>0</v>
      </c>
      <c r="E20" s="13">
        <v>1</v>
      </c>
      <c r="F20" s="16">
        <f>SUMPRODUCT(B20:E20,B10:E10)</f>
        <v>160</v>
      </c>
      <c r="G20" t="s">
        <v>7</v>
      </c>
    </row>
    <row r="22" spans="1:7">
      <c r="A22" t="s">
        <v>8</v>
      </c>
      <c r="B22" t="s">
        <v>9</v>
      </c>
      <c r="D22" t="s">
        <v>10</v>
      </c>
    </row>
    <row r="23" spans="1:7">
      <c r="A23" t="s">
        <v>11</v>
      </c>
      <c r="B23" s="14">
        <f>SUM(B20:E20)</f>
        <v>2</v>
      </c>
      <c r="C23" t="s">
        <v>13</v>
      </c>
      <c r="D23" s="14">
        <v>2</v>
      </c>
    </row>
    <row r="24" spans="1:7">
      <c r="A24" t="s">
        <v>12</v>
      </c>
      <c r="B24" s="15">
        <f>SUM(B20:C20)</f>
        <v>1</v>
      </c>
      <c r="C24" t="s">
        <v>14</v>
      </c>
      <c r="D24" s="15">
        <v>1</v>
      </c>
    </row>
  </sheetData>
  <mergeCells count="2">
    <mergeCell ref="B4:E4"/>
    <mergeCell ref="B13:E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08F1-00D6-1343-AB52-A7DC47E7618A}">
  <dimension ref="A2:H40"/>
  <sheetViews>
    <sheetView tabSelected="1" topLeftCell="A14" workbookViewId="0">
      <selection activeCell="B38" sqref="B38"/>
    </sheetView>
  </sheetViews>
  <sheetFormatPr baseColWidth="10" defaultRowHeight="18"/>
  <cols>
    <col min="1" max="1" width="17.5703125" customWidth="1"/>
    <col min="6" max="6" width="13.85546875" customWidth="1"/>
    <col min="8" max="8" width="16.85546875" customWidth="1"/>
  </cols>
  <sheetData>
    <row r="2" spans="1:8">
      <c r="A2" t="s">
        <v>15</v>
      </c>
    </row>
    <row r="3" spans="1:8">
      <c r="B3" s="1" t="s">
        <v>19</v>
      </c>
      <c r="C3" s="1"/>
      <c r="D3" s="1"/>
      <c r="E3" s="1"/>
    </row>
    <row r="4" spans="1:8">
      <c r="B4" t="s">
        <v>16</v>
      </c>
      <c r="C4" t="s">
        <v>17</v>
      </c>
      <c r="D4" t="s">
        <v>29</v>
      </c>
      <c r="E4" t="s">
        <v>18</v>
      </c>
      <c r="F4" t="s">
        <v>24</v>
      </c>
    </row>
    <row r="5" spans="1:8">
      <c r="A5" t="s">
        <v>20</v>
      </c>
      <c r="B5">
        <v>192</v>
      </c>
      <c r="C5">
        <v>184</v>
      </c>
      <c r="D5">
        <v>208</v>
      </c>
      <c r="E5">
        <v>200</v>
      </c>
      <c r="F5">
        <v>840</v>
      </c>
    </row>
    <row r="6" spans="1:8">
      <c r="A6" t="s">
        <v>21</v>
      </c>
      <c r="B6">
        <v>160</v>
      </c>
      <c r="C6">
        <v>240</v>
      </c>
      <c r="D6">
        <v>176</v>
      </c>
      <c r="E6">
        <v>168</v>
      </c>
      <c r="F6">
        <v>720</v>
      </c>
    </row>
    <row r="7" spans="1:8">
      <c r="A7" t="s">
        <v>22</v>
      </c>
      <c r="B7">
        <v>224</v>
      </c>
      <c r="C7">
        <v>152</v>
      </c>
      <c r="D7">
        <v>232</v>
      </c>
      <c r="E7">
        <v>264</v>
      </c>
      <c r="F7">
        <v>880</v>
      </c>
    </row>
    <row r="8" spans="1:8">
      <c r="A8" t="s">
        <v>23</v>
      </c>
      <c r="B8">
        <v>720</v>
      </c>
      <c r="C8">
        <v>440</v>
      </c>
      <c r="D8">
        <v>480</v>
      </c>
      <c r="E8">
        <v>560</v>
      </c>
    </row>
    <row r="10" spans="1:8">
      <c r="A10" t="s">
        <v>25</v>
      </c>
      <c r="B10" t="s">
        <v>28</v>
      </c>
    </row>
    <row r="11" spans="1:8">
      <c r="A11" t="s">
        <v>30</v>
      </c>
      <c r="B11" t="s">
        <v>16</v>
      </c>
      <c r="C11" t="s">
        <v>17</v>
      </c>
      <c r="D11" t="s">
        <v>29</v>
      </c>
      <c r="E11" t="s">
        <v>18</v>
      </c>
    </row>
    <row r="12" spans="1:8">
      <c r="A12" t="s">
        <v>20</v>
      </c>
      <c r="B12" s="2" t="e">
        <f>SUM(B5,B17)</f>
        <v>#VALUE!</v>
      </c>
      <c r="C12" s="3" t="e">
        <f t="shared" ref="C12:E12" si="0">SUM(C5,C17)</f>
        <v>#VALUE!</v>
      </c>
      <c r="D12" s="3" t="e">
        <f t="shared" si="0"/>
        <v>#VALUE!</v>
      </c>
      <c r="E12" s="4" t="e">
        <f t="shared" si="0"/>
        <v>#VALUE!</v>
      </c>
    </row>
    <row r="13" spans="1:8">
      <c r="A13" t="s">
        <v>21</v>
      </c>
      <c r="B13" s="5">
        <f t="shared" ref="B13:E13" si="1">SUM(B6,B18)</f>
        <v>160</v>
      </c>
      <c r="C13" s="6">
        <f t="shared" si="1"/>
        <v>240</v>
      </c>
      <c r="D13" s="6">
        <f t="shared" si="1"/>
        <v>176</v>
      </c>
      <c r="E13" s="7">
        <f t="shared" si="1"/>
        <v>168</v>
      </c>
    </row>
    <row r="14" spans="1:8">
      <c r="A14" t="s">
        <v>22</v>
      </c>
      <c r="B14" s="8">
        <f t="shared" ref="B14:E14" si="2">SUM(B7,B19)</f>
        <v>224</v>
      </c>
      <c r="C14" s="9">
        <f t="shared" si="2"/>
        <v>152</v>
      </c>
      <c r="D14" s="9">
        <f t="shared" si="2"/>
        <v>232</v>
      </c>
      <c r="E14" s="10">
        <f t="shared" si="2"/>
        <v>264</v>
      </c>
    </row>
    <row r="16" spans="1:8">
      <c r="A16" t="s">
        <v>32</v>
      </c>
      <c r="B16" t="s">
        <v>16</v>
      </c>
      <c r="C16" t="s">
        <v>17</v>
      </c>
      <c r="D16" t="s">
        <v>29</v>
      </c>
      <c r="E16" t="s">
        <v>18</v>
      </c>
      <c r="F16" t="s">
        <v>31</v>
      </c>
      <c r="H16" t="s">
        <v>27</v>
      </c>
    </row>
    <row r="17" spans="1:8">
      <c r="A17" t="s">
        <v>20</v>
      </c>
      <c r="B17" s="2" t="e">
        <f>SUMPRODUCT(B26,B28)</f>
        <v>#VALUE!</v>
      </c>
      <c r="C17" s="2" t="e">
        <f t="shared" ref="C17:E17" si="3">SUMPRODUCT(C26,C28)</f>
        <v>#VALUE!</v>
      </c>
      <c r="D17" s="2" t="e">
        <f t="shared" si="3"/>
        <v>#VALUE!</v>
      </c>
      <c r="E17" s="2" t="e">
        <f t="shared" si="3"/>
        <v>#VALUE!</v>
      </c>
      <c r="F17" s="14" t="e">
        <f>SUM(B17:E17)</f>
        <v>#VALUE!</v>
      </c>
      <c r="G17" t="s">
        <v>14</v>
      </c>
      <c r="H17" s="14">
        <v>840</v>
      </c>
    </row>
    <row r="18" spans="1:8">
      <c r="A18" t="s">
        <v>21</v>
      </c>
      <c r="B18" s="5"/>
      <c r="C18" s="6"/>
      <c r="D18" s="6"/>
      <c r="E18" s="7"/>
      <c r="F18" s="18">
        <f t="shared" ref="F18:F19" si="4">SUM(B18:E18)</f>
        <v>0</v>
      </c>
      <c r="G18" t="s">
        <v>14</v>
      </c>
      <c r="H18" s="18">
        <v>720</v>
      </c>
    </row>
    <row r="19" spans="1:8">
      <c r="A19" t="s">
        <v>22</v>
      </c>
      <c r="B19" s="8"/>
      <c r="C19" s="9"/>
      <c r="D19" s="9"/>
      <c r="E19" s="10"/>
      <c r="F19" s="15">
        <f t="shared" si="4"/>
        <v>0</v>
      </c>
      <c r="G19" t="s">
        <v>14</v>
      </c>
      <c r="H19" s="15">
        <v>880</v>
      </c>
    </row>
    <row r="20" spans="1:8">
      <c r="A20" t="s">
        <v>36</v>
      </c>
      <c r="B20" s="19" t="e">
        <f>SUM(B17:B19)</f>
        <v>#VALUE!</v>
      </c>
      <c r="C20" s="20" t="e">
        <f t="shared" ref="C20:E20" si="5">SUM(C17:C19)</f>
        <v>#VALUE!</v>
      </c>
      <c r="D20" s="20" t="e">
        <f t="shared" si="5"/>
        <v>#VALUE!</v>
      </c>
      <c r="E20" s="21" t="e">
        <f t="shared" si="5"/>
        <v>#VALUE!</v>
      </c>
    </row>
    <row r="21" spans="1:8">
      <c r="B21" t="s">
        <v>34</v>
      </c>
      <c r="C21" t="s">
        <v>34</v>
      </c>
      <c r="D21" t="s">
        <v>34</v>
      </c>
      <c r="E21" t="s">
        <v>34</v>
      </c>
    </row>
    <row r="22" spans="1:8">
      <c r="A22" t="s">
        <v>23</v>
      </c>
      <c r="B22" s="19">
        <v>720</v>
      </c>
      <c r="C22" s="20">
        <v>440</v>
      </c>
      <c r="D22" s="20">
        <v>480</v>
      </c>
      <c r="E22" s="21">
        <v>560</v>
      </c>
    </row>
    <row r="24" spans="1:8">
      <c r="A24" t="s">
        <v>33</v>
      </c>
    </row>
    <row r="25" spans="1:8">
      <c r="A25" t="s">
        <v>35</v>
      </c>
      <c r="B25" t="s">
        <v>16</v>
      </c>
      <c r="C25" t="s">
        <v>17</v>
      </c>
      <c r="D25" t="s">
        <v>29</v>
      </c>
      <c r="E25" t="s">
        <v>18</v>
      </c>
    </row>
    <row r="26" spans="1:8">
      <c r="A26" t="s">
        <v>40</v>
      </c>
      <c r="B26" s="19"/>
      <c r="C26" s="20"/>
      <c r="D26" s="20"/>
      <c r="E26" s="21"/>
    </row>
    <row r="27" spans="1:8">
      <c r="A27" t="s">
        <v>26</v>
      </c>
    </row>
    <row r="28" spans="1:8">
      <c r="A28" t="s">
        <v>39</v>
      </c>
      <c r="B28" s="19"/>
      <c r="C28" s="20"/>
      <c r="D28" s="20"/>
      <c r="E28" s="21"/>
    </row>
    <row r="29" spans="1:8">
      <c r="B29" t="s">
        <v>34</v>
      </c>
      <c r="C29" t="s">
        <v>34</v>
      </c>
      <c r="D29" t="s">
        <v>34</v>
      </c>
      <c r="E29" t="s">
        <v>34</v>
      </c>
    </row>
    <row r="30" spans="1:8">
      <c r="B30">
        <v>240</v>
      </c>
      <c r="C30">
        <v>240</v>
      </c>
      <c r="D30">
        <v>240</v>
      </c>
      <c r="E30">
        <v>240</v>
      </c>
    </row>
    <row r="32" spans="1:8">
      <c r="A32" t="s">
        <v>37</v>
      </c>
    </row>
    <row r="33" spans="1:7">
      <c r="A33" t="s">
        <v>42</v>
      </c>
      <c r="B33" s="19"/>
      <c r="C33" s="20"/>
      <c r="D33" s="20"/>
      <c r="E33" s="21"/>
      <c r="F33" t="s">
        <v>34</v>
      </c>
      <c r="G33">
        <v>1</v>
      </c>
    </row>
    <row r="34" spans="1:7">
      <c r="A34" t="s">
        <v>26</v>
      </c>
    </row>
    <row r="35" spans="1:7">
      <c r="A35" t="s">
        <v>41</v>
      </c>
    </row>
    <row r="38" spans="1:7">
      <c r="A38" t="s">
        <v>38</v>
      </c>
      <c r="B38">
        <f>F19</f>
        <v>0</v>
      </c>
      <c r="C38" t="s">
        <v>13</v>
      </c>
      <c r="D38">
        <v>320</v>
      </c>
    </row>
    <row r="39" spans="1:7">
      <c r="D39">
        <v>640</v>
      </c>
    </row>
    <row r="40" spans="1:7">
      <c r="D40">
        <v>880</v>
      </c>
    </row>
  </sheetData>
  <mergeCells count="1">
    <mergeCell ref="B3:E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연습문제 6.21</vt:lpstr>
      <vt:lpstr>연습문제 6.23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2021-03-16T02:53:22Z</dcterms:created>
  <dcterms:modified xsi:type="dcterms:W3CDTF">2021-03-16T04:21:17Z</dcterms:modified>
</cp:coreProperties>
</file>