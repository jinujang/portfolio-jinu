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ngjnwoo/Google 드라이브/1.실행/대학생활/2학년 1학기/ㄴ 경영과학1 및 실습/8~15주차/"/>
    </mc:Choice>
  </mc:AlternateContent>
  <xr:revisionPtr revIDLastSave="0" documentId="13_ncr:1_{06E414CC-AB75-F34B-898C-9552FB332BFB}" xr6:coauthVersionLast="45" xr6:coauthVersionMax="45" xr10:uidLastSave="{00000000-0000-0000-0000-000000000000}"/>
  <bookViews>
    <workbookView xWindow="5600" yWindow="2680" windowWidth="18480" windowHeight="14340" activeTab="5" xr2:uid="{6B9987AD-A7F9-C94F-B86C-59C852D621CA}"/>
  </bookViews>
  <sheets>
    <sheet name="7.1" sheetId="1" r:id="rId1"/>
    <sheet name="7.2.1)Tableau" sheetId="2" r:id="rId2"/>
    <sheet name="7.2.2)엑셀수식" sheetId="3" r:id="rId3"/>
    <sheet name="7.2.3)SimplexTable" sheetId="4" r:id="rId4"/>
    <sheet name="7.3.직접 손으로 계산" sheetId="5" r:id="rId5"/>
    <sheet name="7.4 Big-M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6" i="6" l="1"/>
  <c r="C16" i="6"/>
  <c r="D16" i="6"/>
  <c r="E16" i="6"/>
  <c r="F16" i="6"/>
  <c r="H16" i="6"/>
  <c r="B15" i="6"/>
  <c r="C15" i="6"/>
  <c r="D15" i="6"/>
  <c r="E15" i="6"/>
  <c r="H15" i="6"/>
  <c r="F15" i="6"/>
  <c r="H17" i="6"/>
  <c r="B17" i="6"/>
  <c r="C17" i="6"/>
  <c r="D17" i="6"/>
  <c r="E17" i="6"/>
  <c r="F17" i="6"/>
  <c r="B12" i="6"/>
  <c r="C12" i="6"/>
  <c r="D12" i="6"/>
  <c r="E12" i="6"/>
  <c r="F12" i="6"/>
  <c r="H12" i="6"/>
  <c r="D11" i="6"/>
  <c r="E11" i="6"/>
  <c r="F11" i="6"/>
  <c r="H11" i="6"/>
  <c r="B11" i="6"/>
  <c r="C11" i="6"/>
  <c r="D13" i="6"/>
  <c r="E13" i="6"/>
  <c r="F13" i="6"/>
  <c r="H13" i="6"/>
  <c r="B13" i="6"/>
  <c r="C13" i="6"/>
  <c r="B9" i="6"/>
  <c r="C9" i="6"/>
  <c r="D9" i="6"/>
  <c r="E9" i="6"/>
  <c r="F9" i="6"/>
  <c r="H9" i="6"/>
  <c r="H8" i="6"/>
  <c r="E7" i="6"/>
  <c r="F7" i="6"/>
  <c r="B7" i="6"/>
  <c r="C7" i="6"/>
  <c r="D7" i="6"/>
  <c r="E8" i="6"/>
  <c r="F8" i="6"/>
  <c r="B8" i="6"/>
  <c r="C8" i="6"/>
  <c r="D8" i="6"/>
  <c r="B19" i="3" l="1"/>
  <c r="B20" i="3"/>
  <c r="B17" i="3"/>
  <c r="C19" i="3"/>
  <c r="C17" i="3"/>
  <c r="B23" i="3"/>
  <c r="C20" i="3"/>
  <c r="B26" i="3"/>
  <c r="B32" i="3"/>
  <c r="B18" i="3"/>
  <c r="C18" i="3"/>
  <c r="B24" i="3"/>
  <c r="B30" i="3"/>
  <c r="F19" i="3"/>
  <c r="F18" i="3"/>
  <c r="F17" i="3"/>
  <c r="F23" i="3"/>
  <c r="F24" i="3"/>
  <c r="F25" i="3"/>
  <c r="B25" i="3"/>
  <c r="F31" i="3"/>
  <c r="F30" i="3"/>
  <c r="B36" i="3"/>
  <c r="F20" i="3"/>
  <c r="F26" i="3"/>
  <c r="F32" i="3"/>
  <c r="B38" i="3"/>
  <c r="C23" i="3"/>
  <c r="C26" i="3"/>
  <c r="C25" i="3"/>
  <c r="C31" i="3"/>
  <c r="C32" i="3"/>
  <c r="C24" i="3"/>
  <c r="C30" i="3"/>
  <c r="C36" i="3"/>
  <c r="C38" i="3"/>
  <c r="D19" i="3"/>
  <c r="D20" i="3"/>
  <c r="D17" i="3"/>
  <c r="D23" i="3"/>
  <c r="D26" i="3"/>
  <c r="D25" i="3"/>
  <c r="D31" i="3"/>
  <c r="D32" i="3"/>
  <c r="D18" i="3"/>
  <c r="D24" i="3"/>
  <c r="D30" i="3"/>
  <c r="D36" i="3"/>
  <c r="D38" i="3"/>
  <c r="E19" i="3"/>
  <c r="E20" i="3"/>
  <c r="E17" i="3"/>
  <c r="E23" i="3"/>
  <c r="E26" i="3"/>
  <c r="E25" i="3"/>
  <c r="E31" i="3"/>
  <c r="E32" i="3"/>
  <c r="E18" i="3"/>
  <c r="E24" i="3"/>
  <c r="E30" i="3"/>
  <c r="E36" i="3"/>
  <c r="E38" i="3"/>
  <c r="F36" i="3"/>
  <c r="F38" i="3"/>
  <c r="G19" i="3"/>
  <c r="G20" i="3"/>
  <c r="G17" i="3"/>
  <c r="G23" i="3"/>
  <c r="G26" i="3"/>
  <c r="G25" i="3"/>
  <c r="G31" i="3"/>
  <c r="G32" i="3"/>
  <c r="G18" i="3"/>
  <c r="G24" i="3"/>
  <c r="G30" i="3"/>
  <c r="G36" i="3"/>
  <c r="G38" i="3"/>
  <c r="I19" i="3"/>
  <c r="I20" i="3"/>
  <c r="I17" i="3"/>
  <c r="I23" i="3"/>
  <c r="I26" i="3"/>
  <c r="I25" i="3"/>
  <c r="I31" i="3"/>
  <c r="I32" i="3"/>
  <c r="I18" i="3"/>
  <c r="I24" i="3"/>
  <c r="I30" i="3"/>
  <c r="I36" i="3"/>
  <c r="I38" i="3"/>
  <c r="I37" i="3"/>
  <c r="G37" i="3"/>
  <c r="F37" i="3"/>
  <c r="E37" i="3"/>
  <c r="D37" i="3"/>
  <c r="C37" i="3"/>
  <c r="B37" i="3"/>
  <c r="B29" i="3"/>
  <c r="F29" i="3"/>
  <c r="B35" i="3"/>
  <c r="C29" i="3"/>
  <c r="C35" i="3"/>
  <c r="D29" i="3"/>
  <c r="D35" i="3"/>
  <c r="E29" i="3"/>
  <c r="E35" i="3"/>
  <c r="F35" i="3"/>
  <c r="G29" i="3"/>
  <c r="G35" i="3"/>
  <c r="G22" i="3"/>
  <c r="B22" i="3"/>
  <c r="G28" i="3"/>
  <c r="F22" i="3"/>
  <c r="F28" i="3"/>
  <c r="G34" i="3"/>
  <c r="F34" i="3"/>
  <c r="E22" i="3"/>
  <c r="E28" i="3"/>
  <c r="E34" i="3"/>
  <c r="D22" i="3"/>
  <c r="D28" i="3"/>
  <c r="D34" i="3"/>
  <c r="C22" i="3"/>
  <c r="C28" i="3"/>
  <c r="C34" i="3"/>
  <c r="B28" i="3"/>
  <c r="B34" i="3"/>
  <c r="I29" i="3"/>
  <c r="I35" i="3"/>
  <c r="I22" i="3"/>
  <c r="I28" i="3"/>
  <c r="I34" i="3"/>
  <c r="D20" i="1"/>
  <c r="D22" i="1"/>
  <c r="F20" i="1"/>
  <c r="F22" i="1"/>
  <c r="H20" i="1"/>
  <c r="H22" i="1"/>
  <c r="G20" i="1"/>
  <c r="G21" i="1"/>
  <c r="C20" i="1"/>
  <c r="C21" i="1"/>
  <c r="G19" i="1"/>
  <c r="C19" i="1"/>
  <c r="J20" i="1"/>
  <c r="J19" i="1"/>
  <c r="D19" i="1"/>
  <c r="F21" i="1"/>
  <c r="E20" i="1"/>
  <c r="E22" i="1"/>
  <c r="H19" i="1"/>
  <c r="F19" i="1"/>
  <c r="D21" i="1"/>
  <c r="H21" i="1"/>
  <c r="G22" i="1"/>
  <c r="C22" i="1"/>
  <c r="H32" i="1"/>
  <c r="H30" i="1"/>
  <c r="E21" i="1"/>
  <c r="J21" i="1"/>
  <c r="E19" i="1"/>
  <c r="J22" i="1"/>
  <c r="J32" i="1"/>
  <c r="J30" i="1"/>
  <c r="J29" i="1"/>
  <c r="C32" i="1"/>
  <c r="F32" i="1"/>
  <c r="F29" i="1"/>
  <c r="J31" i="1"/>
  <c r="G32" i="1"/>
  <c r="H29" i="1"/>
  <c r="K23" i="3"/>
  <c r="K29" i="3"/>
  <c r="H31" i="1"/>
  <c r="D32" i="1"/>
  <c r="D31" i="1"/>
  <c r="E32" i="1"/>
  <c r="E30" i="1"/>
  <c r="E31" i="1"/>
  <c r="F30" i="1"/>
  <c r="F31" i="1"/>
  <c r="D30" i="1"/>
  <c r="D29" i="1"/>
  <c r="G29" i="1"/>
  <c r="G31" i="1"/>
  <c r="G30" i="1"/>
  <c r="C29" i="1"/>
  <c r="C31" i="1"/>
  <c r="C30" i="1"/>
  <c r="E29" i="1"/>
  <c r="H7" i="6"/>
</calcChain>
</file>

<file path=xl/sharedStrings.xml><?xml version="1.0" encoding="utf-8"?>
<sst xmlns="http://schemas.openxmlformats.org/spreadsheetml/2006/main" count="212" uniqueCount="53">
  <si>
    <t>실습과제7(1) 기저해 구하기</t>
    <phoneticPr fontId="1" type="noConversion"/>
  </si>
  <si>
    <t>1)초기 기저해를 말하라</t>
    <phoneticPr fontId="1" type="noConversion"/>
  </si>
  <si>
    <t>x1=1000 x2=1500 x3=1000 x4=1500 x5=1750 x6=4800</t>
    <phoneticPr fontId="1" type="noConversion"/>
  </si>
  <si>
    <t>2)</t>
    <phoneticPr fontId="1" type="noConversion"/>
  </si>
  <si>
    <t>x1+x3=1000</t>
    <phoneticPr fontId="1" type="noConversion"/>
  </si>
  <si>
    <t>x2+x4=1500</t>
    <phoneticPr fontId="1" type="noConversion"/>
  </si>
  <si>
    <t>x2+x1+x5=1750</t>
    <phoneticPr fontId="1" type="noConversion"/>
  </si>
  <si>
    <t>2x2+4x1+x6=4800</t>
    <phoneticPr fontId="1" type="noConversion"/>
  </si>
  <si>
    <t>x1-x4+x5=250</t>
    <phoneticPr fontId="1" type="noConversion"/>
  </si>
  <si>
    <t>4x1-2x4+x6=1800</t>
    <phoneticPr fontId="1" type="noConversion"/>
  </si>
  <si>
    <t>x1</t>
    <phoneticPr fontId="1" type="noConversion"/>
  </si>
  <si>
    <t>x2</t>
    <phoneticPr fontId="1" type="noConversion"/>
  </si>
  <si>
    <t>x3</t>
    <phoneticPr fontId="1" type="noConversion"/>
  </si>
  <si>
    <t>x4</t>
    <phoneticPr fontId="1" type="noConversion"/>
  </si>
  <si>
    <t>x5</t>
    <phoneticPr fontId="1" type="noConversion"/>
  </si>
  <si>
    <t>x6</t>
    <phoneticPr fontId="1" type="noConversion"/>
  </si>
  <si>
    <t>=</t>
  </si>
  <si>
    <t>=</t>
    <phoneticPr fontId="1" type="noConversion"/>
  </si>
  <si>
    <t>우변상수</t>
    <phoneticPr fontId="1" type="noConversion"/>
  </si>
  <si>
    <t>초기해</t>
    <phoneticPr fontId="1" type="noConversion"/>
  </si>
  <si>
    <t>반복1</t>
    <phoneticPr fontId="1" type="noConversion"/>
  </si>
  <si>
    <t>기저해 (1000,1500,1000,1500,250,1800)</t>
    <phoneticPr fontId="1" type="noConversion"/>
  </si>
  <si>
    <t>모두 양수이므로 기저가능해</t>
    <phoneticPr fontId="1" type="noConversion"/>
  </si>
  <si>
    <t>기저가능해이다</t>
    <phoneticPr fontId="1" type="noConversion"/>
  </si>
  <si>
    <t>3)</t>
    <phoneticPr fontId="1" type="noConversion"/>
  </si>
  <si>
    <t>반복2</t>
    <phoneticPr fontId="1" type="noConversion"/>
  </si>
  <si>
    <t>기저해(450,1500,550,1500,-200,1800)</t>
    <phoneticPr fontId="1" type="noConversion"/>
  </si>
  <si>
    <t>기저가능해가 아니다</t>
    <phoneticPr fontId="1" type="noConversion"/>
  </si>
  <si>
    <t>1) Tableau 심플렉스법</t>
    <phoneticPr fontId="1" type="noConversion"/>
  </si>
  <si>
    <t>RHS</t>
    <phoneticPr fontId="1" type="noConversion"/>
  </si>
  <si>
    <t>(초기해)</t>
    <phoneticPr fontId="1" type="noConversion"/>
  </si>
  <si>
    <t>반복 2</t>
    <phoneticPr fontId="1" type="noConversion"/>
  </si>
  <si>
    <t>기저변수</t>
  </si>
  <si>
    <t>기저변수</t>
    <phoneticPr fontId="1" type="noConversion"/>
  </si>
  <si>
    <t>기저변수값</t>
  </si>
  <si>
    <t>기저변수값</t>
    <phoneticPr fontId="1" type="noConversion"/>
  </si>
  <si>
    <t>(1/4)</t>
    <phoneticPr fontId="1" type="noConversion"/>
  </si>
  <si>
    <t>2)엑셀 수식</t>
    <phoneticPr fontId="1" type="noConversion"/>
  </si>
  <si>
    <t>반복3</t>
  </si>
  <si>
    <t>반복3</t>
    <phoneticPr fontId="1" type="noConversion"/>
  </si>
  <si>
    <t>반복4</t>
  </si>
  <si>
    <t>반복4</t>
    <phoneticPr fontId="1" type="noConversion"/>
  </si>
  <si>
    <t>반복5</t>
  </si>
  <si>
    <t>반복5</t>
    <phoneticPr fontId="1" type="noConversion"/>
  </si>
  <si>
    <t>최적해</t>
  </si>
  <si>
    <t>최적해</t>
    <phoneticPr fontId="1" type="noConversion"/>
  </si>
  <si>
    <t>프로그램이 안돌아가요</t>
    <phoneticPr fontId="1" type="noConversion"/>
  </si>
  <si>
    <t>s1</t>
    <phoneticPr fontId="1" type="noConversion"/>
  </si>
  <si>
    <t>s2</t>
    <phoneticPr fontId="1" type="noConversion"/>
  </si>
  <si>
    <t>Z+(-3-5M)x1+(-2-4M)x2+(-4-8M)x3-Mr1-Mr2-Ms1+2Ms2=-180M</t>
    <phoneticPr fontId="1" type="noConversion"/>
  </si>
  <si>
    <t>(3,4)부분 -1.5?</t>
    <phoneticPr fontId="1" type="noConversion"/>
  </si>
  <si>
    <t>나머지는 다 맞음</t>
    <phoneticPr fontId="1" type="noConversion"/>
  </si>
  <si>
    <t>Min-&gt;Max로 바꾸고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</si>
</sst>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월&quot;\ d&quot;일&quot;"/>
  </numFmts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5B0AD-7E9F-5249-90DD-D440A48E65DD}">
  <dimension ref="A1:J35"/>
  <sheetViews>
    <sheetView topLeftCell="A17" workbookViewId="0">
      <selection activeCell="F31" sqref="F31"/>
    </sheetView>
  </sheetViews>
  <sheetFormatPr baseColWidth="10" defaultColWidth="10.85546875" defaultRowHeight="18"/>
  <cols>
    <col min="2" max="2" width="30" bestFit="1" customWidth="1"/>
  </cols>
  <sheetData>
    <row r="1" spans="1:10">
      <c r="A1" t="s">
        <v>0</v>
      </c>
    </row>
    <row r="2" spans="1:10">
      <c r="A2">
        <v>1</v>
      </c>
    </row>
    <row r="4" spans="1:10">
      <c r="A4" t="s">
        <v>1</v>
      </c>
      <c r="C4" t="s">
        <v>2</v>
      </c>
    </row>
    <row r="5" spans="1:10">
      <c r="C5" t="s">
        <v>23</v>
      </c>
    </row>
    <row r="6" spans="1:10">
      <c r="A6" t="s">
        <v>3</v>
      </c>
    </row>
    <row r="7" spans="1:10"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  <c r="J7" t="s">
        <v>18</v>
      </c>
    </row>
    <row r="8" spans="1:10">
      <c r="B8" t="s">
        <v>19</v>
      </c>
      <c r="C8">
        <v>1</v>
      </c>
      <c r="D8">
        <v>0</v>
      </c>
      <c r="E8">
        <v>1</v>
      </c>
      <c r="F8">
        <v>0</v>
      </c>
      <c r="G8">
        <v>0</v>
      </c>
      <c r="H8">
        <v>0</v>
      </c>
      <c r="I8" t="s">
        <v>17</v>
      </c>
      <c r="J8">
        <v>1000</v>
      </c>
    </row>
    <row r="9" spans="1:10">
      <c r="C9">
        <v>0</v>
      </c>
      <c r="D9">
        <v>1</v>
      </c>
      <c r="E9">
        <v>0</v>
      </c>
      <c r="F9">
        <v>1</v>
      </c>
      <c r="G9">
        <v>0</v>
      </c>
      <c r="H9">
        <v>0</v>
      </c>
      <c r="I9" t="s">
        <v>17</v>
      </c>
      <c r="J9">
        <v>1500</v>
      </c>
    </row>
    <row r="10" spans="1:10">
      <c r="C10">
        <v>1</v>
      </c>
      <c r="D10">
        <v>1</v>
      </c>
      <c r="E10">
        <v>0</v>
      </c>
      <c r="F10">
        <v>0</v>
      </c>
      <c r="G10">
        <v>1</v>
      </c>
      <c r="H10">
        <v>0</v>
      </c>
      <c r="I10" t="s">
        <v>17</v>
      </c>
      <c r="J10">
        <v>1750</v>
      </c>
    </row>
    <row r="11" spans="1:10">
      <c r="C11">
        <v>4</v>
      </c>
      <c r="D11">
        <v>2</v>
      </c>
      <c r="E11">
        <v>0</v>
      </c>
      <c r="F11">
        <v>0</v>
      </c>
      <c r="G11">
        <v>0</v>
      </c>
      <c r="H11">
        <v>1</v>
      </c>
      <c r="I11" t="s">
        <v>17</v>
      </c>
      <c r="J11">
        <v>4800</v>
      </c>
    </row>
    <row r="13" spans="1:10">
      <c r="C13" t="s">
        <v>4</v>
      </c>
    </row>
    <row r="14" spans="1:10">
      <c r="C14" t="s">
        <v>5</v>
      </c>
    </row>
    <row r="15" spans="1:10">
      <c r="C15" t="s">
        <v>6</v>
      </c>
      <c r="E15" t="s">
        <v>8</v>
      </c>
    </row>
    <row r="16" spans="1:10">
      <c r="C16" t="s">
        <v>7</v>
      </c>
      <c r="E16" t="s">
        <v>9</v>
      </c>
    </row>
    <row r="18" spans="1:10">
      <c r="C18" t="s">
        <v>10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  <c r="J18" t="s">
        <v>18</v>
      </c>
    </row>
    <row r="19" spans="1:10">
      <c r="B19" t="s">
        <v>20</v>
      </c>
      <c r="C19">
        <f t="shared" ref="C19:H19" si="0">C8-C$20*$D8</f>
        <v>1</v>
      </c>
      <c r="D19">
        <f t="shared" si="0"/>
        <v>0</v>
      </c>
      <c r="E19">
        <f t="shared" si="0"/>
        <v>1</v>
      </c>
      <c r="F19">
        <f t="shared" si="0"/>
        <v>0</v>
      </c>
      <c r="G19">
        <f t="shared" si="0"/>
        <v>0</v>
      </c>
      <c r="H19">
        <f t="shared" si="0"/>
        <v>0</v>
      </c>
      <c r="I19" t="s">
        <v>17</v>
      </c>
      <c r="J19">
        <f>J8-J$20*$D8</f>
        <v>1000</v>
      </c>
    </row>
    <row r="20" spans="1:10">
      <c r="C20">
        <f t="shared" ref="C20:H20" si="1">C9/$D$9</f>
        <v>0</v>
      </c>
      <c r="D20">
        <f t="shared" si="1"/>
        <v>1</v>
      </c>
      <c r="E20">
        <f t="shared" si="1"/>
        <v>0</v>
      </c>
      <c r="F20">
        <f t="shared" si="1"/>
        <v>1</v>
      </c>
      <c r="G20">
        <f t="shared" si="1"/>
        <v>0</v>
      </c>
      <c r="H20">
        <f t="shared" si="1"/>
        <v>0</v>
      </c>
      <c r="I20" t="s">
        <v>17</v>
      </c>
      <c r="J20">
        <f>J9/$D9</f>
        <v>1500</v>
      </c>
    </row>
    <row r="21" spans="1:10">
      <c r="C21">
        <f t="shared" ref="C21:H22" si="2">C10-C$20*$D10</f>
        <v>1</v>
      </c>
      <c r="D21">
        <f t="shared" si="2"/>
        <v>0</v>
      </c>
      <c r="E21">
        <f t="shared" si="2"/>
        <v>0</v>
      </c>
      <c r="F21">
        <f t="shared" si="2"/>
        <v>-1</v>
      </c>
      <c r="G21">
        <f t="shared" si="2"/>
        <v>1</v>
      </c>
      <c r="H21">
        <f t="shared" si="2"/>
        <v>0</v>
      </c>
      <c r="I21" t="s">
        <v>17</v>
      </c>
      <c r="J21">
        <f>J10-J$20*$D10</f>
        <v>250</v>
      </c>
    </row>
    <row r="22" spans="1:10">
      <c r="C22">
        <f t="shared" si="2"/>
        <v>4</v>
      </c>
      <c r="D22">
        <f t="shared" si="2"/>
        <v>0</v>
      </c>
      <c r="E22">
        <f t="shared" si="2"/>
        <v>0</v>
      </c>
      <c r="F22">
        <f t="shared" si="2"/>
        <v>-2</v>
      </c>
      <c r="G22">
        <f t="shared" si="2"/>
        <v>0</v>
      </c>
      <c r="H22">
        <f t="shared" si="2"/>
        <v>1</v>
      </c>
      <c r="I22" t="s">
        <v>17</v>
      </c>
      <c r="J22">
        <f>J11-J$20*$D11</f>
        <v>1800</v>
      </c>
    </row>
    <row r="24" spans="1:10">
      <c r="B24" s="1" t="s">
        <v>21</v>
      </c>
      <c r="D24" t="s">
        <v>22</v>
      </c>
    </row>
    <row r="26" spans="1:10">
      <c r="A26" t="s">
        <v>24</v>
      </c>
    </row>
    <row r="28" spans="1:10">
      <c r="B28" t="s">
        <v>25</v>
      </c>
      <c r="C28" t="s">
        <v>10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  <c r="J28" t="s">
        <v>18</v>
      </c>
    </row>
    <row r="29" spans="1:10">
      <c r="C29">
        <f t="shared" ref="C29:H31" si="3">C19-C$32*$C19</f>
        <v>0</v>
      </c>
      <c r="D29">
        <f t="shared" si="3"/>
        <v>0</v>
      </c>
      <c r="E29">
        <f t="shared" si="3"/>
        <v>1</v>
      </c>
      <c r="F29">
        <f t="shared" si="3"/>
        <v>0.5</v>
      </c>
      <c r="G29">
        <f t="shared" si="3"/>
        <v>0</v>
      </c>
      <c r="H29">
        <f t="shared" si="3"/>
        <v>-0.25</v>
      </c>
      <c r="I29" t="s">
        <v>17</v>
      </c>
      <c r="J29">
        <f>J19-J$32*$C19</f>
        <v>550</v>
      </c>
    </row>
    <row r="30" spans="1:10">
      <c r="C30">
        <f t="shared" si="3"/>
        <v>0</v>
      </c>
      <c r="D30">
        <f t="shared" si="3"/>
        <v>1</v>
      </c>
      <c r="E30">
        <f t="shared" si="3"/>
        <v>0</v>
      </c>
      <c r="F30">
        <f t="shared" si="3"/>
        <v>1</v>
      </c>
      <c r="G30">
        <f t="shared" si="3"/>
        <v>0</v>
      </c>
      <c r="H30">
        <f t="shared" si="3"/>
        <v>0</v>
      </c>
      <c r="I30" t="s">
        <v>17</v>
      </c>
      <c r="J30">
        <f>J20-J$32*$C20</f>
        <v>1500</v>
      </c>
    </row>
    <row r="31" spans="1:10">
      <c r="C31">
        <f t="shared" si="3"/>
        <v>0</v>
      </c>
      <c r="D31">
        <f t="shared" si="3"/>
        <v>0</v>
      </c>
      <c r="E31">
        <f t="shared" si="3"/>
        <v>0</v>
      </c>
      <c r="F31">
        <f t="shared" si="3"/>
        <v>-0.5</v>
      </c>
      <c r="G31">
        <f t="shared" si="3"/>
        <v>1</v>
      </c>
      <c r="H31">
        <f t="shared" si="3"/>
        <v>-0.25</v>
      </c>
      <c r="I31" t="s">
        <v>17</v>
      </c>
      <c r="J31">
        <f>J21-J$32*$C21</f>
        <v>-200</v>
      </c>
    </row>
    <row r="32" spans="1:10">
      <c r="C32">
        <f t="shared" ref="C32:H32" si="4">C22/$C$22</f>
        <v>1</v>
      </c>
      <c r="D32">
        <f t="shared" si="4"/>
        <v>0</v>
      </c>
      <c r="E32">
        <f t="shared" si="4"/>
        <v>0</v>
      </c>
      <c r="F32">
        <f t="shared" si="4"/>
        <v>-0.5</v>
      </c>
      <c r="G32">
        <f t="shared" si="4"/>
        <v>0</v>
      </c>
      <c r="H32">
        <f t="shared" si="4"/>
        <v>0.25</v>
      </c>
      <c r="I32" t="s">
        <v>17</v>
      </c>
      <c r="J32">
        <f>J22/$C$22</f>
        <v>450</v>
      </c>
    </row>
    <row r="34" spans="2:7">
      <c r="B34" t="s">
        <v>26</v>
      </c>
      <c r="D34" t="s">
        <v>27</v>
      </c>
      <c r="G34" t="s">
        <v>50</v>
      </c>
    </row>
    <row r="35" spans="2:7">
      <c r="G35" t="s">
        <v>51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B0487-585C-9B41-804D-ADC02E03FE8E}">
  <dimension ref="A1:K38"/>
  <sheetViews>
    <sheetView topLeftCell="A7" workbookViewId="0">
      <selection activeCell="I34" sqref="I34"/>
    </sheetView>
  </sheetViews>
  <sheetFormatPr baseColWidth="10" defaultColWidth="10.85546875" defaultRowHeight="18"/>
  <sheetData>
    <row r="1" spans="1:11">
      <c r="A1" t="s">
        <v>28</v>
      </c>
    </row>
    <row r="3" spans="1:11"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I3" t="s">
        <v>29</v>
      </c>
    </row>
    <row r="4" spans="1:11">
      <c r="B4">
        <v>-30</v>
      </c>
      <c r="C4">
        <v>-20</v>
      </c>
      <c r="D4">
        <v>0</v>
      </c>
      <c r="E4">
        <v>0</v>
      </c>
      <c r="F4">
        <v>0</v>
      </c>
      <c r="G4">
        <v>0</v>
      </c>
      <c r="H4" t="s">
        <v>17</v>
      </c>
      <c r="I4">
        <v>0</v>
      </c>
    </row>
    <row r="5" spans="1:11">
      <c r="B5">
        <v>8</v>
      </c>
      <c r="C5">
        <v>3</v>
      </c>
      <c r="D5">
        <v>1</v>
      </c>
      <c r="E5">
        <v>0</v>
      </c>
      <c r="F5">
        <v>0</v>
      </c>
      <c r="G5">
        <v>0</v>
      </c>
      <c r="H5" t="s">
        <v>17</v>
      </c>
      <c r="I5">
        <v>240</v>
      </c>
    </row>
    <row r="6" spans="1:11">
      <c r="B6">
        <v>4</v>
      </c>
      <c r="C6">
        <v>4</v>
      </c>
      <c r="D6">
        <v>0</v>
      </c>
      <c r="E6">
        <v>1</v>
      </c>
      <c r="F6">
        <v>0</v>
      </c>
      <c r="G6">
        <v>0</v>
      </c>
      <c r="H6" t="s">
        <v>17</v>
      </c>
      <c r="I6">
        <v>200</v>
      </c>
    </row>
    <row r="7" spans="1:11">
      <c r="B7">
        <v>4</v>
      </c>
      <c r="C7">
        <v>0</v>
      </c>
      <c r="D7">
        <v>0</v>
      </c>
      <c r="E7">
        <v>0</v>
      </c>
      <c r="F7">
        <v>1</v>
      </c>
      <c r="G7">
        <v>0</v>
      </c>
      <c r="H7" t="s">
        <v>17</v>
      </c>
      <c r="I7">
        <v>100</v>
      </c>
    </row>
    <row r="8" spans="1:11">
      <c r="B8">
        <v>0</v>
      </c>
      <c r="C8">
        <v>1</v>
      </c>
      <c r="D8">
        <v>0</v>
      </c>
      <c r="E8">
        <v>0</v>
      </c>
      <c r="F8">
        <v>0</v>
      </c>
      <c r="G8">
        <v>1</v>
      </c>
      <c r="H8" t="s">
        <v>17</v>
      </c>
      <c r="I8">
        <v>40</v>
      </c>
    </row>
    <row r="10" spans="1:11">
      <c r="A10" t="s">
        <v>20</v>
      </c>
      <c r="B10">
        <v>-30</v>
      </c>
      <c r="C10">
        <v>-20</v>
      </c>
      <c r="D10">
        <v>0</v>
      </c>
      <c r="E10">
        <v>0</v>
      </c>
      <c r="F10">
        <v>0</v>
      </c>
      <c r="G10">
        <v>0</v>
      </c>
      <c r="H10" t="s">
        <v>17</v>
      </c>
      <c r="I10">
        <v>0</v>
      </c>
      <c r="J10" t="s">
        <v>33</v>
      </c>
      <c r="K10" t="s">
        <v>35</v>
      </c>
    </row>
    <row r="11" spans="1:11">
      <c r="A11" t="s">
        <v>30</v>
      </c>
      <c r="B11">
        <v>8</v>
      </c>
      <c r="C11">
        <v>3</v>
      </c>
      <c r="D11">
        <v>1</v>
      </c>
      <c r="E11">
        <v>0</v>
      </c>
      <c r="F11">
        <v>0</v>
      </c>
      <c r="G11">
        <v>0</v>
      </c>
      <c r="H11" t="s">
        <v>17</v>
      </c>
      <c r="I11">
        <v>240</v>
      </c>
      <c r="J11">
        <v>3</v>
      </c>
      <c r="K11">
        <v>240</v>
      </c>
    </row>
    <row r="12" spans="1:11">
      <c r="B12">
        <v>4</v>
      </c>
      <c r="C12">
        <v>4</v>
      </c>
      <c r="D12">
        <v>0</v>
      </c>
      <c r="E12">
        <v>1</v>
      </c>
      <c r="F12">
        <v>0</v>
      </c>
      <c r="G12">
        <v>0</v>
      </c>
      <c r="H12" t="s">
        <v>17</v>
      </c>
      <c r="I12">
        <v>200</v>
      </c>
      <c r="J12">
        <v>4</v>
      </c>
      <c r="K12">
        <v>200</v>
      </c>
    </row>
    <row r="13" spans="1:11">
      <c r="B13">
        <v>4</v>
      </c>
      <c r="C13">
        <v>0</v>
      </c>
      <c r="D13">
        <v>0</v>
      </c>
      <c r="E13">
        <v>0</v>
      </c>
      <c r="F13">
        <v>1</v>
      </c>
      <c r="G13">
        <v>0</v>
      </c>
      <c r="H13" t="s">
        <v>17</v>
      </c>
      <c r="I13">
        <v>100</v>
      </c>
      <c r="J13">
        <v>5</v>
      </c>
      <c r="K13">
        <v>100</v>
      </c>
    </row>
    <row r="14" spans="1:11">
      <c r="B14">
        <v>0</v>
      </c>
      <c r="C14">
        <v>1</v>
      </c>
      <c r="D14">
        <v>0</v>
      </c>
      <c r="E14">
        <v>0</v>
      </c>
      <c r="F14">
        <v>0</v>
      </c>
      <c r="G14">
        <v>1</v>
      </c>
      <c r="H14" t="s">
        <v>17</v>
      </c>
      <c r="I14">
        <v>40</v>
      </c>
      <c r="J14">
        <v>6</v>
      </c>
      <c r="K14">
        <v>40</v>
      </c>
    </row>
    <row r="16" spans="1:11">
      <c r="A16" t="s">
        <v>31</v>
      </c>
      <c r="B16">
        <v>0</v>
      </c>
      <c r="C16">
        <v>-20</v>
      </c>
      <c r="D16">
        <v>0</v>
      </c>
      <c r="E16">
        <v>0</v>
      </c>
      <c r="F16">
        <v>7.5</v>
      </c>
      <c r="G16">
        <v>0</v>
      </c>
      <c r="H16" t="s">
        <v>17</v>
      </c>
      <c r="I16">
        <v>750</v>
      </c>
      <c r="J16" t="s">
        <v>33</v>
      </c>
      <c r="K16" t="s">
        <v>35</v>
      </c>
    </row>
    <row r="17" spans="1:11">
      <c r="B17">
        <v>0</v>
      </c>
      <c r="C17">
        <v>3</v>
      </c>
      <c r="D17">
        <v>1</v>
      </c>
      <c r="E17">
        <v>0</v>
      </c>
      <c r="F17">
        <v>-2</v>
      </c>
      <c r="G17">
        <v>0</v>
      </c>
      <c r="H17" t="s">
        <v>17</v>
      </c>
      <c r="I17">
        <v>40</v>
      </c>
      <c r="J17">
        <v>4</v>
      </c>
      <c r="K17">
        <v>-20</v>
      </c>
    </row>
    <row r="18" spans="1:11">
      <c r="B18">
        <v>0</v>
      </c>
      <c r="C18">
        <v>4</v>
      </c>
      <c r="D18">
        <v>0</v>
      </c>
      <c r="E18">
        <v>0</v>
      </c>
      <c r="F18">
        <v>0</v>
      </c>
      <c r="G18">
        <v>0</v>
      </c>
      <c r="H18" t="s">
        <v>17</v>
      </c>
      <c r="I18">
        <v>100</v>
      </c>
      <c r="J18">
        <v>2</v>
      </c>
      <c r="K18">
        <v>25</v>
      </c>
    </row>
    <row r="19" spans="1:11">
      <c r="B19">
        <v>1</v>
      </c>
      <c r="C19">
        <v>0</v>
      </c>
      <c r="D19">
        <v>0</v>
      </c>
      <c r="E19">
        <v>0</v>
      </c>
      <c r="F19" s="2" t="s">
        <v>36</v>
      </c>
      <c r="G19">
        <v>0</v>
      </c>
      <c r="H19" t="s">
        <v>17</v>
      </c>
      <c r="I19">
        <v>25</v>
      </c>
      <c r="J19">
        <v>5</v>
      </c>
      <c r="K19">
        <v>100</v>
      </c>
    </row>
    <row r="20" spans="1:11">
      <c r="B20">
        <v>0</v>
      </c>
      <c r="C20">
        <v>1</v>
      </c>
      <c r="D20">
        <v>0</v>
      </c>
      <c r="E20">
        <v>0</v>
      </c>
      <c r="F20">
        <v>0</v>
      </c>
      <c r="G20">
        <v>1</v>
      </c>
      <c r="H20" t="s">
        <v>17</v>
      </c>
      <c r="I20">
        <v>40</v>
      </c>
      <c r="J20">
        <v>6</v>
      </c>
      <c r="K20">
        <v>40</v>
      </c>
    </row>
    <row r="22" spans="1:11">
      <c r="A22" t="s">
        <v>38</v>
      </c>
      <c r="B22">
        <v>-30</v>
      </c>
      <c r="C22">
        <v>0</v>
      </c>
      <c r="D22">
        <v>6.6666666666666661</v>
      </c>
      <c r="E22">
        <v>0</v>
      </c>
      <c r="F22">
        <v>-13.333333333333332</v>
      </c>
      <c r="G22">
        <v>0</v>
      </c>
      <c r="H22" t="s">
        <v>16</v>
      </c>
      <c r="I22">
        <v>266.66666666666669</v>
      </c>
      <c r="J22" t="s">
        <v>32</v>
      </c>
      <c r="K22" t="s">
        <v>34</v>
      </c>
    </row>
    <row r="23" spans="1:11">
      <c r="B23">
        <v>0</v>
      </c>
      <c r="C23">
        <v>1</v>
      </c>
      <c r="D23">
        <v>0.33333333333333331</v>
      </c>
      <c r="E23">
        <v>0</v>
      </c>
      <c r="F23">
        <v>-0.66666666666666663</v>
      </c>
      <c r="G23">
        <v>0</v>
      </c>
      <c r="H23" t="s">
        <v>16</v>
      </c>
      <c r="I23">
        <v>13.333333333333334</v>
      </c>
      <c r="J23">
        <v>2</v>
      </c>
      <c r="K23">
        <v>13.333333333333334</v>
      </c>
    </row>
    <row r="24" spans="1:11">
      <c r="B24">
        <v>0</v>
      </c>
      <c r="C24">
        <v>0</v>
      </c>
      <c r="D24">
        <v>-1.3333333333333333</v>
      </c>
      <c r="E24">
        <v>1</v>
      </c>
      <c r="F24">
        <v>1.6666666666666665</v>
      </c>
      <c r="G24">
        <v>0</v>
      </c>
      <c r="H24" t="s">
        <v>16</v>
      </c>
      <c r="I24">
        <v>46.666666666666664</v>
      </c>
      <c r="J24">
        <v>4</v>
      </c>
      <c r="K24">
        <v>100</v>
      </c>
    </row>
    <row r="25" spans="1:11">
      <c r="B25">
        <v>1</v>
      </c>
      <c r="C25">
        <v>0</v>
      </c>
      <c r="D25">
        <v>0</v>
      </c>
      <c r="E25">
        <v>0</v>
      </c>
      <c r="F25" s="4">
        <v>0.25</v>
      </c>
      <c r="G25">
        <v>0</v>
      </c>
      <c r="H25" t="s">
        <v>16</v>
      </c>
      <c r="I25">
        <v>25</v>
      </c>
      <c r="J25">
        <v>1</v>
      </c>
      <c r="K25">
        <v>25</v>
      </c>
    </row>
    <row r="26" spans="1:11">
      <c r="B26">
        <v>0</v>
      </c>
      <c r="C26">
        <v>0</v>
      </c>
      <c r="D26">
        <v>-0.33333333333333331</v>
      </c>
      <c r="E26">
        <v>0</v>
      </c>
      <c r="F26">
        <v>0.66666666666666663</v>
      </c>
      <c r="G26">
        <v>1</v>
      </c>
      <c r="H26" t="s">
        <v>16</v>
      </c>
      <c r="I26">
        <v>26.666666666666664</v>
      </c>
      <c r="J26">
        <v>6</v>
      </c>
      <c r="K26">
        <v>40</v>
      </c>
    </row>
    <row r="28" spans="1:11">
      <c r="A28" t="s">
        <v>40</v>
      </c>
      <c r="B28">
        <v>0</v>
      </c>
      <c r="C28">
        <v>0</v>
      </c>
      <c r="D28">
        <v>6.6666666666666661</v>
      </c>
      <c r="E28">
        <v>0</v>
      </c>
      <c r="F28">
        <v>-5.8333333333333321</v>
      </c>
      <c r="G28">
        <v>0</v>
      </c>
      <c r="H28" t="s">
        <v>16</v>
      </c>
      <c r="I28">
        <v>1016.6666666666667</v>
      </c>
      <c r="J28" t="s">
        <v>32</v>
      </c>
      <c r="K28" t="s">
        <v>34</v>
      </c>
    </row>
    <row r="29" spans="1:11">
      <c r="B29">
        <v>0</v>
      </c>
      <c r="C29">
        <v>1</v>
      </c>
      <c r="D29">
        <v>0.33333333333333331</v>
      </c>
      <c r="E29">
        <v>0</v>
      </c>
      <c r="F29">
        <v>-0.66666666666666663</v>
      </c>
      <c r="G29">
        <v>0</v>
      </c>
      <c r="H29" t="s">
        <v>16</v>
      </c>
      <c r="I29">
        <v>13.333333333333334</v>
      </c>
      <c r="J29">
        <v>2</v>
      </c>
      <c r="K29">
        <v>4.4444444444444446</v>
      </c>
    </row>
    <row r="30" spans="1:11">
      <c r="B30">
        <v>0</v>
      </c>
      <c r="C30">
        <v>0</v>
      </c>
      <c r="D30">
        <v>-1.3333333333333333</v>
      </c>
      <c r="E30">
        <v>1</v>
      </c>
      <c r="F30">
        <v>1.6666666666666665</v>
      </c>
      <c r="G30">
        <v>0</v>
      </c>
      <c r="H30" t="s">
        <v>16</v>
      </c>
      <c r="I30">
        <v>46.666666666666664</v>
      </c>
      <c r="J30">
        <v>4</v>
      </c>
      <c r="K30">
        <v>100</v>
      </c>
    </row>
    <row r="31" spans="1:11">
      <c r="B31">
        <v>1</v>
      </c>
      <c r="C31">
        <v>0</v>
      </c>
      <c r="D31">
        <v>0</v>
      </c>
      <c r="E31">
        <v>0</v>
      </c>
      <c r="F31">
        <v>0.25</v>
      </c>
      <c r="G31">
        <v>0</v>
      </c>
      <c r="H31" t="s">
        <v>16</v>
      </c>
      <c r="I31">
        <v>25</v>
      </c>
      <c r="J31">
        <v>1</v>
      </c>
      <c r="K31">
        <v>25</v>
      </c>
    </row>
    <row r="32" spans="1:11">
      <c r="B32">
        <v>0</v>
      </c>
      <c r="C32">
        <v>0</v>
      </c>
      <c r="D32">
        <v>-0.33333333333333331</v>
      </c>
      <c r="E32">
        <v>0</v>
      </c>
      <c r="F32">
        <v>0.66666666666666663</v>
      </c>
      <c r="G32">
        <v>1</v>
      </c>
      <c r="H32" t="s">
        <v>16</v>
      </c>
      <c r="I32">
        <v>26.666666666666664</v>
      </c>
      <c r="J32">
        <v>6</v>
      </c>
      <c r="K32">
        <v>40</v>
      </c>
    </row>
    <row r="34" spans="1:11">
      <c r="A34" t="s">
        <v>42</v>
      </c>
      <c r="B34">
        <v>0</v>
      </c>
      <c r="C34">
        <v>0</v>
      </c>
      <c r="D34">
        <v>2</v>
      </c>
      <c r="E34">
        <v>3.5</v>
      </c>
      <c r="F34">
        <v>0</v>
      </c>
      <c r="G34">
        <v>0</v>
      </c>
      <c r="H34" t="s">
        <v>16</v>
      </c>
      <c r="I34">
        <v>1180</v>
      </c>
      <c r="J34" t="s">
        <v>32</v>
      </c>
      <c r="K34" t="s">
        <v>34</v>
      </c>
    </row>
    <row r="35" spans="1:11">
      <c r="A35" t="s">
        <v>44</v>
      </c>
      <c r="B35">
        <v>0</v>
      </c>
      <c r="C35">
        <v>1</v>
      </c>
      <c r="D35">
        <v>-0.2</v>
      </c>
      <c r="E35">
        <v>0.4</v>
      </c>
      <c r="F35">
        <v>0</v>
      </c>
      <c r="G35">
        <v>0</v>
      </c>
      <c r="H35" t="s">
        <v>16</v>
      </c>
      <c r="I35">
        <v>32</v>
      </c>
      <c r="J35">
        <v>2</v>
      </c>
      <c r="K35">
        <v>32</v>
      </c>
    </row>
    <row r="36" spans="1:11">
      <c r="B36">
        <v>0</v>
      </c>
      <c r="C36">
        <v>0</v>
      </c>
      <c r="D36">
        <v>-0.8</v>
      </c>
      <c r="E36">
        <v>0.60000000000000009</v>
      </c>
      <c r="F36">
        <v>1</v>
      </c>
      <c r="G36">
        <v>0</v>
      </c>
      <c r="H36" t="s">
        <v>16</v>
      </c>
      <c r="I36">
        <v>28</v>
      </c>
      <c r="J36">
        <v>5</v>
      </c>
      <c r="K36">
        <v>28</v>
      </c>
    </row>
    <row r="37" spans="1:11">
      <c r="B37">
        <v>1</v>
      </c>
      <c r="C37">
        <v>0</v>
      </c>
      <c r="D37">
        <v>0.2</v>
      </c>
      <c r="E37">
        <v>-0.15000000000000002</v>
      </c>
      <c r="F37">
        <v>0</v>
      </c>
      <c r="G37">
        <v>0</v>
      </c>
      <c r="H37" t="s">
        <v>16</v>
      </c>
      <c r="I37">
        <v>18</v>
      </c>
      <c r="J37">
        <v>1</v>
      </c>
      <c r="K37">
        <v>25</v>
      </c>
    </row>
    <row r="38" spans="1:11">
      <c r="B38">
        <v>0</v>
      </c>
      <c r="C38">
        <v>0</v>
      </c>
      <c r="D38">
        <v>0.2</v>
      </c>
      <c r="E38">
        <v>-0.4</v>
      </c>
      <c r="F38">
        <v>0</v>
      </c>
      <c r="G38">
        <v>1</v>
      </c>
      <c r="H38" t="s">
        <v>16</v>
      </c>
      <c r="I38">
        <v>8</v>
      </c>
      <c r="J38">
        <v>6</v>
      </c>
      <c r="K38">
        <v>40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37CA6-D7F9-4A4E-B644-A047E4424892}">
  <dimension ref="A1:K40"/>
  <sheetViews>
    <sheetView workbookViewId="0">
      <selection activeCell="E40" sqref="E40"/>
    </sheetView>
  </sheetViews>
  <sheetFormatPr baseColWidth="10" defaultColWidth="10.85546875" defaultRowHeight="18"/>
  <sheetData>
    <row r="1" spans="1:11">
      <c r="A1" t="s">
        <v>37</v>
      </c>
    </row>
    <row r="3" spans="1:11"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I3" t="s">
        <v>29</v>
      </c>
    </row>
    <row r="4" spans="1:11">
      <c r="B4">
        <v>-30</v>
      </c>
      <c r="C4">
        <v>-20</v>
      </c>
      <c r="D4">
        <v>0</v>
      </c>
      <c r="E4">
        <v>0</v>
      </c>
      <c r="F4">
        <v>0</v>
      </c>
      <c r="G4">
        <v>0</v>
      </c>
      <c r="H4" t="s">
        <v>17</v>
      </c>
      <c r="I4">
        <v>0</v>
      </c>
    </row>
    <row r="5" spans="1:11">
      <c r="B5">
        <v>8</v>
      </c>
      <c r="C5">
        <v>3</v>
      </c>
      <c r="D5">
        <v>1</v>
      </c>
      <c r="E5">
        <v>0</v>
      </c>
      <c r="F5">
        <v>0</v>
      </c>
      <c r="G5">
        <v>0</v>
      </c>
      <c r="H5" t="s">
        <v>17</v>
      </c>
      <c r="I5">
        <v>240</v>
      </c>
    </row>
    <row r="6" spans="1:11">
      <c r="B6">
        <v>4</v>
      </c>
      <c r="C6">
        <v>4</v>
      </c>
      <c r="D6">
        <v>0</v>
      </c>
      <c r="E6">
        <v>1</v>
      </c>
      <c r="F6">
        <v>0</v>
      </c>
      <c r="G6">
        <v>0</v>
      </c>
      <c r="H6" t="s">
        <v>17</v>
      </c>
      <c r="I6">
        <v>200</v>
      </c>
    </row>
    <row r="7" spans="1:11">
      <c r="B7">
        <v>4</v>
      </c>
      <c r="C7">
        <v>0</v>
      </c>
      <c r="D7">
        <v>0</v>
      </c>
      <c r="E7">
        <v>0</v>
      </c>
      <c r="F7">
        <v>1</v>
      </c>
      <c r="G7">
        <v>0</v>
      </c>
      <c r="H7" t="s">
        <v>17</v>
      </c>
      <c r="I7">
        <v>100</v>
      </c>
    </row>
    <row r="8" spans="1:11">
      <c r="B8">
        <v>0</v>
      </c>
      <c r="C8">
        <v>1</v>
      </c>
      <c r="D8">
        <v>0</v>
      </c>
      <c r="E8">
        <v>0</v>
      </c>
      <c r="F8">
        <v>0</v>
      </c>
      <c r="G8">
        <v>1</v>
      </c>
      <c r="H8" t="s">
        <v>17</v>
      </c>
      <c r="I8">
        <v>40</v>
      </c>
    </row>
    <row r="10" spans="1:11">
      <c r="A10" t="s">
        <v>20</v>
      </c>
      <c r="B10">
        <v>-30</v>
      </c>
      <c r="C10">
        <v>-20</v>
      </c>
      <c r="D10">
        <v>0</v>
      </c>
      <c r="E10">
        <v>0</v>
      </c>
      <c r="F10">
        <v>0</v>
      </c>
      <c r="G10">
        <v>0</v>
      </c>
      <c r="H10" t="s">
        <v>17</v>
      </c>
      <c r="I10">
        <v>0</v>
      </c>
      <c r="J10" t="s">
        <v>33</v>
      </c>
      <c r="K10" t="s">
        <v>35</v>
      </c>
    </row>
    <row r="11" spans="1:11">
      <c r="A11" t="s">
        <v>30</v>
      </c>
      <c r="B11">
        <v>8</v>
      </c>
      <c r="C11">
        <v>3</v>
      </c>
      <c r="D11">
        <v>1</v>
      </c>
      <c r="E11">
        <v>0</v>
      </c>
      <c r="F11">
        <v>0</v>
      </c>
      <c r="G11">
        <v>0</v>
      </c>
      <c r="H11" t="s">
        <v>17</v>
      </c>
      <c r="I11">
        <v>240</v>
      </c>
      <c r="J11">
        <v>3</v>
      </c>
      <c r="K11">
        <v>240</v>
      </c>
    </row>
    <row r="12" spans="1:11">
      <c r="B12">
        <v>4</v>
      </c>
      <c r="C12">
        <v>4</v>
      </c>
      <c r="D12">
        <v>0</v>
      </c>
      <c r="E12">
        <v>1</v>
      </c>
      <c r="F12">
        <v>0</v>
      </c>
      <c r="G12">
        <v>0</v>
      </c>
      <c r="H12" t="s">
        <v>17</v>
      </c>
      <c r="I12">
        <v>200</v>
      </c>
      <c r="J12">
        <v>4</v>
      </c>
      <c r="K12">
        <v>200</v>
      </c>
    </row>
    <row r="13" spans="1:11">
      <c r="B13">
        <v>4</v>
      </c>
      <c r="C13">
        <v>0</v>
      </c>
      <c r="D13">
        <v>0</v>
      </c>
      <c r="E13">
        <v>0</v>
      </c>
      <c r="F13">
        <v>1</v>
      </c>
      <c r="G13">
        <v>0</v>
      </c>
      <c r="H13" t="s">
        <v>17</v>
      </c>
      <c r="I13">
        <v>100</v>
      </c>
      <c r="J13">
        <v>5</v>
      </c>
      <c r="K13">
        <v>100</v>
      </c>
    </row>
    <row r="14" spans="1:11">
      <c r="B14">
        <v>0</v>
      </c>
      <c r="C14">
        <v>1</v>
      </c>
      <c r="D14">
        <v>0</v>
      </c>
      <c r="E14">
        <v>0</v>
      </c>
      <c r="F14">
        <v>0</v>
      </c>
      <c r="G14">
        <v>1</v>
      </c>
      <c r="H14" t="s">
        <v>17</v>
      </c>
      <c r="I14">
        <v>40</v>
      </c>
      <c r="J14">
        <v>6</v>
      </c>
      <c r="K14">
        <v>40</v>
      </c>
    </row>
    <row r="16" spans="1:11">
      <c r="A16" t="s">
        <v>25</v>
      </c>
      <c r="B16">
        <v>-30</v>
      </c>
      <c r="C16">
        <v>-20</v>
      </c>
      <c r="D16">
        <v>0</v>
      </c>
      <c r="E16">
        <v>0</v>
      </c>
      <c r="F16">
        <v>0</v>
      </c>
      <c r="G16">
        <v>0</v>
      </c>
      <c r="H16" t="s">
        <v>17</v>
      </c>
      <c r="I16">
        <v>0</v>
      </c>
      <c r="J16" t="s">
        <v>33</v>
      </c>
      <c r="K16" t="s">
        <v>35</v>
      </c>
    </row>
    <row r="17" spans="1:11">
      <c r="B17">
        <f t="shared" ref="B17:G18" si="0">B11-B$19*$B11</f>
        <v>0</v>
      </c>
      <c r="C17">
        <f t="shared" si="0"/>
        <v>3</v>
      </c>
      <c r="D17">
        <f t="shared" si="0"/>
        <v>1</v>
      </c>
      <c r="E17">
        <f t="shared" si="0"/>
        <v>0</v>
      </c>
      <c r="F17">
        <f t="shared" si="0"/>
        <v>-2</v>
      </c>
      <c r="G17">
        <f t="shared" si="0"/>
        <v>0</v>
      </c>
      <c r="H17" t="s">
        <v>17</v>
      </c>
      <c r="I17">
        <f>I11-I$19*$B11</f>
        <v>40</v>
      </c>
      <c r="J17">
        <v>3</v>
      </c>
      <c r="K17">
        <v>40</v>
      </c>
    </row>
    <row r="18" spans="1:11">
      <c r="B18">
        <f t="shared" si="0"/>
        <v>0</v>
      </c>
      <c r="C18">
        <f t="shared" si="0"/>
        <v>4</v>
      </c>
      <c r="D18">
        <f t="shared" si="0"/>
        <v>0</v>
      </c>
      <c r="E18">
        <f t="shared" si="0"/>
        <v>1</v>
      </c>
      <c r="F18">
        <f t="shared" si="0"/>
        <v>-1</v>
      </c>
      <c r="G18">
        <f t="shared" si="0"/>
        <v>0</v>
      </c>
      <c r="H18" t="s">
        <v>17</v>
      </c>
      <c r="I18">
        <f>I12-I$19*$B12</f>
        <v>100</v>
      </c>
      <c r="J18">
        <v>4</v>
      </c>
      <c r="K18">
        <v>100</v>
      </c>
    </row>
    <row r="19" spans="1:11">
      <c r="B19">
        <f t="shared" ref="B19:G19" si="1">B13/$B$13</f>
        <v>1</v>
      </c>
      <c r="C19">
        <f t="shared" si="1"/>
        <v>0</v>
      </c>
      <c r="D19">
        <f t="shared" si="1"/>
        <v>0</v>
      </c>
      <c r="E19">
        <f t="shared" si="1"/>
        <v>0</v>
      </c>
      <c r="F19">
        <f t="shared" si="1"/>
        <v>0.25</v>
      </c>
      <c r="G19">
        <f t="shared" si="1"/>
        <v>0</v>
      </c>
      <c r="H19" t="s">
        <v>17</v>
      </c>
      <c r="I19">
        <f>I13/$B$13</f>
        <v>25</v>
      </c>
      <c r="J19">
        <v>1</v>
      </c>
      <c r="K19">
        <v>25</v>
      </c>
    </row>
    <row r="20" spans="1:11">
      <c r="B20">
        <f t="shared" ref="B20:G20" si="2">B14-B$19*$B14</f>
        <v>0</v>
      </c>
      <c r="C20">
        <f t="shared" si="2"/>
        <v>1</v>
      </c>
      <c r="D20">
        <f t="shared" si="2"/>
        <v>0</v>
      </c>
      <c r="E20">
        <f t="shared" si="2"/>
        <v>0</v>
      </c>
      <c r="F20">
        <f t="shared" si="2"/>
        <v>0</v>
      </c>
      <c r="G20">
        <f t="shared" si="2"/>
        <v>1</v>
      </c>
      <c r="H20" t="s">
        <v>17</v>
      </c>
      <c r="I20">
        <f>I14-I$19*$B14</f>
        <v>40</v>
      </c>
      <c r="J20">
        <v>6</v>
      </c>
      <c r="K20">
        <v>40</v>
      </c>
    </row>
    <row r="22" spans="1:11">
      <c r="A22" t="s">
        <v>39</v>
      </c>
      <c r="B22">
        <f t="shared" ref="B22:G22" si="3">B16-B$23*$C16</f>
        <v>-30</v>
      </c>
      <c r="C22">
        <f t="shared" si="3"/>
        <v>0</v>
      </c>
      <c r="D22">
        <f t="shared" si="3"/>
        <v>6.6666666666666661</v>
      </c>
      <c r="E22">
        <f t="shared" si="3"/>
        <v>0</v>
      </c>
      <c r="F22">
        <f t="shared" si="3"/>
        <v>-13.333333333333332</v>
      </c>
      <c r="G22">
        <f t="shared" si="3"/>
        <v>0</v>
      </c>
      <c r="H22" t="s">
        <v>17</v>
      </c>
      <c r="I22">
        <f>I16-I$23*$C16</f>
        <v>266.66666666666669</v>
      </c>
      <c r="J22" t="s">
        <v>33</v>
      </c>
      <c r="K22" t="s">
        <v>35</v>
      </c>
    </row>
    <row r="23" spans="1:11">
      <c r="B23">
        <f t="shared" ref="B23:G23" si="4">B17/$C$17</f>
        <v>0</v>
      </c>
      <c r="C23">
        <f t="shared" si="4"/>
        <v>1</v>
      </c>
      <c r="D23">
        <f t="shared" si="4"/>
        <v>0.33333333333333331</v>
      </c>
      <c r="E23">
        <f t="shared" si="4"/>
        <v>0</v>
      </c>
      <c r="F23">
        <f t="shared" si="4"/>
        <v>-0.66666666666666663</v>
      </c>
      <c r="G23">
        <f t="shared" si="4"/>
        <v>0</v>
      </c>
      <c r="H23" t="s">
        <v>17</v>
      </c>
      <c r="I23">
        <f>I17/$C$17</f>
        <v>13.333333333333334</v>
      </c>
      <c r="J23">
        <v>2</v>
      </c>
      <c r="K23">
        <f>K17/$C$17</f>
        <v>13.333333333333334</v>
      </c>
    </row>
    <row r="24" spans="1:11">
      <c r="B24">
        <f t="shared" ref="B24:G26" si="5">B18-B$23*$C18</f>
        <v>0</v>
      </c>
      <c r="C24">
        <f t="shared" si="5"/>
        <v>0</v>
      </c>
      <c r="D24">
        <f t="shared" si="5"/>
        <v>-1.3333333333333333</v>
      </c>
      <c r="E24">
        <f t="shared" si="5"/>
        <v>1</v>
      </c>
      <c r="F24">
        <f t="shared" si="5"/>
        <v>1.6666666666666665</v>
      </c>
      <c r="G24">
        <f t="shared" si="5"/>
        <v>0</v>
      </c>
      <c r="H24" t="s">
        <v>17</v>
      </c>
      <c r="I24">
        <f>I18-I$23*$C18</f>
        <v>46.666666666666664</v>
      </c>
      <c r="J24">
        <v>4</v>
      </c>
      <c r="K24">
        <v>100</v>
      </c>
    </row>
    <row r="25" spans="1:11">
      <c r="B25">
        <f t="shared" si="5"/>
        <v>1</v>
      </c>
      <c r="C25">
        <f t="shared" si="5"/>
        <v>0</v>
      </c>
      <c r="D25">
        <f t="shared" si="5"/>
        <v>0</v>
      </c>
      <c r="E25">
        <f t="shared" si="5"/>
        <v>0</v>
      </c>
      <c r="F25">
        <f t="shared" si="5"/>
        <v>0.25</v>
      </c>
      <c r="G25">
        <f t="shared" si="5"/>
        <v>0</v>
      </c>
      <c r="H25" t="s">
        <v>17</v>
      </c>
      <c r="I25">
        <f>I19-I$23*$C19</f>
        <v>25</v>
      </c>
      <c r="J25">
        <v>1</v>
      </c>
      <c r="K25">
        <v>25</v>
      </c>
    </row>
    <row r="26" spans="1:11">
      <c r="B26">
        <f t="shared" si="5"/>
        <v>0</v>
      </c>
      <c r="C26">
        <f t="shared" si="5"/>
        <v>0</v>
      </c>
      <c r="D26">
        <f t="shared" si="5"/>
        <v>-0.33333333333333331</v>
      </c>
      <c r="E26">
        <f t="shared" si="5"/>
        <v>0</v>
      </c>
      <c r="F26">
        <f t="shared" si="5"/>
        <v>0.66666666666666663</v>
      </c>
      <c r="G26">
        <f t="shared" si="5"/>
        <v>1</v>
      </c>
      <c r="H26" t="s">
        <v>17</v>
      </c>
      <c r="I26">
        <f>I20-I$23*$C20</f>
        <v>26.666666666666664</v>
      </c>
      <c r="J26">
        <v>6</v>
      </c>
      <c r="K26">
        <v>40</v>
      </c>
    </row>
    <row r="28" spans="1:11">
      <c r="A28" t="s">
        <v>41</v>
      </c>
      <c r="B28">
        <f t="shared" ref="B28:G30" si="6">B22-B$31*$B22</f>
        <v>0</v>
      </c>
      <c r="C28">
        <f t="shared" si="6"/>
        <v>0</v>
      </c>
      <c r="D28">
        <f t="shared" si="6"/>
        <v>6.6666666666666661</v>
      </c>
      <c r="E28">
        <f t="shared" si="6"/>
        <v>0</v>
      </c>
      <c r="F28">
        <f t="shared" si="6"/>
        <v>-5.8333333333333321</v>
      </c>
      <c r="G28">
        <f t="shared" si="6"/>
        <v>0</v>
      </c>
      <c r="H28" t="s">
        <v>17</v>
      </c>
      <c r="I28">
        <f>I22-I$31*$B22</f>
        <v>1016.6666666666667</v>
      </c>
      <c r="J28" t="s">
        <v>33</v>
      </c>
      <c r="K28" t="s">
        <v>35</v>
      </c>
    </row>
    <row r="29" spans="1:11">
      <c r="B29">
        <f t="shared" si="6"/>
        <v>0</v>
      </c>
      <c r="C29">
        <f t="shared" si="6"/>
        <v>1</v>
      </c>
      <c r="D29">
        <f t="shared" si="6"/>
        <v>0.33333333333333331</v>
      </c>
      <c r="E29">
        <f t="shared" si="6"/>
        <v>0</v>
      </c>
      <c r="F29">
        <f t="shared" si="6"/>
        <v>-0.66666666666666663</v>
      </c>
      <c r="G29">
        <f t="shared" si="6"/>
        <v>0</v>
      </c>
      <c r="H29" t="s">
        <v>17</v>
      </c>
      <c r="I29">
        <f>I23-I$31*$B23</f>
        <v>13.333333333333334</v>
      </c>
      <c r="J29">
        <v>2</v>
      </c>
      <c r="K29">
        <f>K23/$C$17</f>
        <v>4.4444444444444446</v>
      </c>
    </row>
    <row r="30" spans="1:11">
      <c r="B30">
        <f t="shared" si="6"/>
        <v>0</v>
      </c>
      <c r="C30">
        <f t="shared" si="6"/>
        <v>0</v>
      </c>
      <c r="D30">
        <f t="shared" si="6"/>
        <v>-1.3333333333333333</v>
      </c>
      <c r="E30">
        <f t="shared" si="6"/>
        <v>1</v>
      </c>
      <c r="F30">
        <f t="shared" si="6"/>
        <v>1.6666666666666665</v>
      </c>
      <c r="G30">
        <f t="shared" si="6"/>
        <v>0</v>
      </c>
      <c r="H30" t="s">
        <v>17</v>
      </c>
      <c r="I30">
        <f>I24-I$31*$B24</f>
        <v>46.666666666666664</v>
      </c>
      <c r="J30">
        <v>4</v>
      </c>
      <c r="K30">
        <v>100</v>
      </c>
    </row>
    <row r="31" spans="1:11">
      <c r="B31">
        <v>1</v>
      </c>
      <c r="C31">
        <f>C25/$B$25</f>
        <v>0</v>
      </c>
      <c r="D31">
        <f>D25/$B$25</f>
        <v>0</v>
      </c>
      <c r="E31">
        <f>E25/$B$25</f>
        <v>0</v>
      </c>
      <c r="F31">
        <f>F25/$B$25</f>
        <v>0.25</v>
      </c>
      <c r="G31">
        <f>G25/$B$25</f>
        <v>0</v>
      </c>
      <c r="H31" t="s">
        <v>17</v>
      </c>
      <c r="I31">
        <f>I25/$B$25</f>
        <v>25</v>
      </c>
      <c r="J31">
        <v>1</v>
      </c>
      <c r="K31">
        <v>25</v>
      </c>
    </row>
    <row r="32" spans="1:11">
      <c r="B32">
        <f t="shared" ref="B32" si="7">B26-B$31*$B26</f>
        <v>0</v>
      </c>
      <c r="C32">
        <f>C26-C$31*$B26</f>
        <v>0</v>
      </c>
      <c r="D32">
        <f>D26-D$31*$B26</f>
        <v>-0.33333333333333331</v>
      </c>
      <c r="E32">
        <f>E26-E$31*$B26</f>
        <v>0</v>
      </c>
      <c r="F32">
        <f>F26-F$31*$B26</f>
        <v>0.66666666666666663</v>
      </c>
      <c r="G32">
        <f>G26-G$31*$B26</f>
        <v>1</v>
      </c>
      <c r="H32" t="s">
        <v>17</v>
      </c>
      <c r="I32">
        <f>I26-I$31*$B26</f>
        <v>26.666666666666664</v>
      </c>
      <c r="J32">
        <v>6</v>
      </c>
      <c r="K32">
        <v>40</v>
      </c>
    </row>
    <row r="34" spans="1:11">
      <c r="A34" t="s">
        <v>43</v>
      </c>
      <c r="B34">
        <f t="shared" ref="B34:G35" si="8">B28-B$36*$F28</f>
        <v>0</v>
      </c>
      <c r="C34">
        <f t="shared" si="8"/>
        <v>0</v>
      </c>
      <c r="D34">
        <f t="shared" si="8"/>
        <v>2</v>
      </c>
      <c r="E34">
        <f t="shared" si="8"/>
        <v>3.5</v>
      </c>
      <c r="F34">
        <f t="shared" si="8"/>
        <v>0</v>
      </c>
      <c r="G34">
        <f t="shared" si="8"/>
        <v>0</v>
      </c>
      <c r="H34" t="s">
        <v>17</v>
      </c>
      <c r="I34">
        <f>I28-I$36*$F28</f>
        <v>1180</v>
      </c>
      <c r="J34" t="s">
        <v>33</v>
      </c>
      <c r="K34" t="s">
        <v>35</v>
      </c>
    </row>
    <row r="35" spans="1:11">
      <c r="A35" t="s">
        <v>45</v>
      </c>
      <c r="B35">
        <f t="shared" si="8"/>
        <v>0</v>
      </c>
      <c r="C35">
        <f t="shared" si="8"/>
        <v>1</v>
      </c>
      <c r="D35">
        <f t="shared" si="8"/>
        <v>-0.2</v>
      </c>
      <c r="E35">
        <f t="shared" si="8"/>
        <v>0.4</v>
      </c>
      <c r="F35">
        <f t="shared" si="8"/>
        <v>0</v>
      </c>
      <c r="G35">
        <f t="shared" si="8"/>
        <v>0</v>
      </c>
      <c r="H35" t="s">
        <v>17</v>
      </c>
      <c r="I35">
        <f>I29-I$36*$F29</f>
        <v>32</v>
      </c>
      <c r="J35">
        <v>2</v>
      </c>
      <c r="K35">
        <v>32</v>
      </c>
    </row>
    <row r="36" spans="1:11">
      <c r="B36">
        <f t="shared" ref="B36:G36" si="9">B30/$F$30</f>
        <v>0</v>
      </c>
      <c r="C36">
        <f t="shared" si="9"/>
        <v>0</v>
      </c>
      <c r="D36">
        <f t="shared" si="9"/>
        <v>-0.8</v>
      </c>
      <c r="E36">
        <f t="shared" si="9"/>
        <v>0.60000000000000009</v>
      </c>
      <c r="F36">
        <f t="shared" si="9"/>
        <v>1</v>
      </c>
      <c r="G36">
        <f t="shared" si="9"/>
        <v>0</v>
      </c>
      <c r="H36" t="s">
        <v>17</v>
      </c>
      <c r="I36">
        <f>I30/$F$30</f>
        <v>28</v>
      </c>
      <c r="J36">
        <v>5</v>
      </c>
      <c r="K36">
        <v>28</v>
      </c>
    </row>
    <row r="37" spans="1:11">
      <c r="B37">
        <f t="shared" ref="B37:G38" si="10">B31-B$36*$F31</f>
        <v>1</v>
      </c>
      <c r="C37">
        <f t="shared" si="10"/>
        <v>0</v>
      </c>
      <c r="D37">
        <f t="shared" si="10"/>
        <v>0.2</v>
      </c>
      <c r="E37">
        <f t="shared" si="10"/>
        <v>-0.15000000000000002</v>
      </c>
      <c r="F37">
        <f t="shared" si="10"/>
        <v>0</v>
      </c>
      <c r="G37">
        <f t="shared" si="10"/>
        <v>0</v>
      </c>
      <c r="H37" t="s">
        <v>17</v>
      </c>
      <c r="I37">
        <f>I31-I$36*$F31</f>
        <v>18</v>
      </c>
      <c r="J37">
        <v>1</v>
      </c>
      <c r="K37">
        <v>25</v>
      </c>
    </row>
    <row r="38" spans="1:11">
      <c r="B38">
        <f t="shared" si="10"/>
        <v>0</v>
      </c>
      <c r="C38">
        <f t="shared" si="10"/>
        <v>0</v>
      </c>
      <c r="D38">
        <f t="shared" si="10"/>
        <v>0.2</v>
      </c>
      <c r="E38">
        <f t="shared" si="10"/>
        <v>-0.4</v>
      </c>
      <c r="F38">
        <f t="shared" si="10"/>
        <v>0</v>
      </c>
      <c r="G38">
        <f t="shared" si="10"/>
        <v>1</v>
      </c>
      <c r="H38" t="s">
        <v>17</v>
      </c>
      <c r="I38">
        <f>I32-I$36*$F32</f>
        <v>8</v>
      </c>
      <c r="J38">
        <v>6</v>
      </c>
      <c r="K38">
        <v>40</v>
      </c>
    </row>
    <row r="40" spans="1:11">
      <c r="F40" s="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C9ECD-9DDC-234D-93D3-F0530F9AC271}">
  <dimension ref="A1"/>
  <sheetViews>
    <sheetView workbookViewId="0">
      <selection activeCell="A2" sqref="A2"/>
    </sheetView>
  </sheetViews>
  <sheetFormatPr baseColWidth="10" defaultColWidth="10.85546875" defaultRowHeight="18"/>
  <sheetData>
    <row r="1" spans="1:1">
      <c r="A1" t="s">
        <v>46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353E5-4711-6C41-99D3-D643A349ABBD}">
  <dimension ref="A3:H18"/>
  <sheetViews>
    <sheetView workbookViewId="0">
      <selection activeCell="D21" sqref="D21"/>
    </sheetView>
  </sheetViews>
  <sheetFormatPr baseColWidth="10" defaultColWidth="10.85546875" defaultRowHeight="18"/>
  <sheetData>
    <row r="3" spans="1:8">
      <c r="A3" t="s">
        <v>19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H3" t="s">
        <v>29</v>
      </c>
    </row>
    <row r="4" spans="1:8">
      <c r="B4">
        <v>3</v>
      </c>
      <c r="C4">
        <v>5</v>
      </c>
      <c r="D4">
        <v>0</v>
      </c>
      <c r="E4">
        <v>0</v>
      </c>
      <c r="F4">
        <v>0</v>
      </c>
      <c r="G4" t="s">
        <v>17</v>
      </c>
      <c r="H4">
        <v>42</v>
      </c>
    </row>
    <row r="5" spans="1:8">
      <c r="B5">
        <v>1</v>
      </c>
      <c r="C5">
        <v>0</v>
      </c>
      <c r="D5">
        <v>1</v>
      </c>
      <c r="E5">
        <v>0</v>
      </c>
      <c r="F5">
        <v>0</v>
      </c>
      <c r="G5" t="s">
        <v>17</v>
      </c>
      <c r="H5">
        <v>4</v>
      </c>
    </row>
    <row r="6" spans="1:8">
      <c r="B6">
        <v>0</v>
      </c>
      <c r="C6">
        <v>2</v>
      </c>
      <c r="D6">
        <v>0</v>
      </c>
      <c r="E6">
        <v>1</v>
      </c>
      <c r="F6">
        <v>0</v>
      </c>
      <c r="G6" t="s">
        <v>17</v>
      </c>
      <c r="H6">
        <v>12</v>
      </c>
    </row>
    <row r="7" spans="1:8">
      <c r="B7">
        <v>3</v>
      </c>
      <c r="C7">
        <v>2</v>
      </c>
      <c r="D7">
        <v>0</v>
      </c>
      <c r="E7">
        <v>0</v>
      </c>
      <c r="F7">
        <v>1</v>
      </c>
      <c r="G7" t="s">
        <v>17</v>
      </c>
      <c r="H7">
        <v>18</v>
      </c>
    </row>
    <row r="9" spans="1:8">
      <c r="A9" t="s">
        <v>20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H9" t="s">
        <v>29</v>
      </c>
    </row>
    <row r="10" spans="1:8">
      <c r="B10">
        <v>3</v>
      </c>
      <c r="C10">
        <v>0</v>
      </c>
      <c r="D10">
        <v>0</v>
      </c>
      <c r="E10">
        <v>-2.5</v>
      </c>
      <c r="F10">
        <v>0</v>
      </c>
      <c r="G10" t="s">
        <v>17</v>
      </c>
      <c r="H10">
        <v>12</v>
      </c>
    </row>
    <row r="11" spans="1:8">
      <c r="B11">
        <v>1</v>
      </c>
      <c r="C11">
        <v>0</v>
      </c>
      <c r="D11">
        <v>1</v>
      </c>
      <c r="E11">
        <v>0</v>
      </c>
      <c r="F11">
        <v>0</v>
      </c>
      <c r="G11" t="s">
        <v>17</v>
      </c>
      <c r="H11">
        <v>4</v>
      </c>
    </row>
    <row r="12" spans="1:8">
      <c r="B12">
        <v>0</v>
      </c>
      <c r="C12">
        <v>1</v>
      </c>
      <c r="D12">
        <v>0</v>
      </c>
      <c r="E12">
        <v>0.5</v>
      </c>
      <c r="F12">
        <v>0</v>
      </c>
      <c r="G12" t="s">
        <v>17</v>
      </c>
      <c r="H12">
        <v>6</v>
      </c>
    </row>
    <row r="13" spans="1:8">
      <c r="B13">
        <v>3</v>
      </c>
      <c r="C13">
        <v>0</v>
      </c>
      <c r="D13">
        <v>0</v>
      </c>
      <c r="E13">
        <v>-1</v>
      </c>
      <c r="F13">
        <v>1</v>
      </c>
      <c r="G13" t="s">
        <v>17</v>
      </c>
      <c r="H13">
        <v>6</v>
      </c>
    </row>
    <row r="15" spans="1:8">
      <c r="A15" t="s">
        <v>25</v>
      </c>
      <c r="B15">
        <v>3</v>
      </c>
      <c r="C15">
        <v>5</v>
      </c>
      <c r="D15">
        <v>0</v>
      </c>
      <c r="E15">
        <v>0</v>
      </c>
      <c r="F15">
        <v>0</v>
      </c>
      <c r="G15" t="s">
        <v>17</v>
      </c>
      <c r="H15">
        <v>42</v>
      </c>
    </row>
    <row r="16" spans="1:8">
      <c r="B16">
        <v>1</v>
      </c>
      <c r="C16">
        <v>0</v>
      </c>
      <c r="D16">
        <v>1</v>
      </c>
      <c r="E16">
        <v>0</v>
      </c>
      <c r="F16">
        <v>0</v>
      </c>
      <c r="G16" t="s">
        <v>17</v>
      </c>
      <c r="H16">
        <v>4</v>
      </c>
    </row>
    <row r="17" spans="2:8">
      <c r="B17">
        <v>0</v>
      </c>
      <c r="C17">
        <v>2</v>
      </c>
      <c r="D17">
        <v>0</v>
      </c>
      <c r="E17">
        <v>1</v>
      </c>
      <c r="F17">
        <v>0</v>
      </c>
      <c r="G17" t="s">
        <v>17</v>
      </c>
      <c r="H17">
        <v>12</v>
      </c>
    </row>
    <row r="18" spans="2:8">
      <c r="B18">
        <v>3</v>
      </c>
      <c r="C18">
        <v>0</v>
      </c>
      <c r="D18">
        <v>0</v>
      </c>
      <c r="E18">
        <v>0</v>
      </c>
      <c r="F18">
        <v>1</v>
      </c>
      <c r="G18" t="s">
        <v>17</v>
      </c>
      <c r="H18">
        <v>-66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6231B-8345-D849-8AE5-FD7FFAC4E039}">
  <dimension ref="B1:H19"/>
  <sheetViews>
    <sheetView tabSelected="1" workbookViewId="0">
      <selection activeCell="B1" sqref="B1"/>
    </sheetView>
  </sheetViews>
  <sheetFormatPr baseColWidth="10" defaultColWidth="10.85546875" defaultRowHeight="18"/>
  <sheetData>
    <row r="1" spans="2:8">
      <c r="B1" t="s">
        <v>49</v>
      </c>
    </row>
    <row r="2" spans="2:8">
      <c r="B2" t="s">
        <v>10</v>
      </c>
      <c r="C2" t="s">
        <v>11</v>
      </c>
      <c r="D2" t="s">
        <v>12</v>
      </c>
      <c r="E2" t="s">
        <v>47</v>
      </c>
      <c r="F2" t="s">
        <v>48</v>
      </c>
    </row>
    <row r="3" spans="2:8">
      <c r="B3">
        <v>-5003</v>
      </c>
      <c r="C3">
        <v>-4002</v>
      </c>
      <c r="D3">
        <v>-8004</v>
      </c>
      <c r="E3">
        <v>-1000</v>
      </c>
      <c r="F3">
        <v>2000</v>
      </c>
      <c r="G3" t="s">
        <v>17</v>
      </c>
      <c r="H3">
        <v>179910</v>
      </c>
    </row>
    <row r="4" spans="2:8">
      <c r="B4">
        <v>2</v>
      </c>
      <c r="C4">
        <v>1</v>
      </c>
      <c r="D4">
        <v>3</v>
      </c>
      <c r="E4">
        <v>1</v>
      </c>
      <c r="F4">
        <v>-1</v>
      </c>
      <c r="G4" t="s">
        <v>17</v>
      </c>
      <c r="H4">
        <v>60</v>
      </c>
    </row>
    <row r="5" spans="2:8">
      <c r="B5">
        <v>3</v>
      </c>
      <c r="C5">
        <v>3</v>
      </c>
      <c r="D5">
        <v>5</v>
      </c>
      <c r="F5">
        <v>-1</v>
      </c>
      <c r="G5" t="s">
        <v>17</v>
      </c>
      <c r="H5">
        <v>120</v>
      </c>
    </row>
    <row r="7" spans="2:8">
      <c r="B7">
        <f t="shared" ref="B7:H7" si="0">B3-B$8*$D3</f>
        <v>333</v>
      </c>
      <c r="C7">
        <f t="shared" si="0"/>
        <v>-1334</v>
      </c>
      <c r="D7">
        <f>D3-D$8*$D3</f>
        <v>0</v>
      </c>
      <c r="E7">
        <f t="shared" si="0"/>
        <v>1668</v>
      </c>
      <c r="F7">
        <f t="shared" si="0"/>
        <v>-668</v>
      </c>
      <c r="G7" t="s">
        <v>17</v>
      </c>
      <c r="H7">
        <f t="shared" si="0"/>
        <v>339990</v>
      </c>
    </row>
    <row r="8" spans="2:8">
      <c r="B8">
        <f t="shared" ref="B8:H8" si="1">B4/$D$4</f>
        <v>0.66666666666666663</v>
      </c>
      <c r="C8">
        <f t="shared" si="1"/>
        <v>0.33333333333333331</v>
      </c>
      <c r="D8">
        <f>D4/$D$4</f>
        <v>1</v>
      </c>
      <c r="E8">
        <f t="shared" si="1"/>
        <v>0.33333333333333331</v>
      </c>
      <c r="F8">
        <f t="shared" si="1"/>
        <v>-0.33333333333333331</v>
      </c>
      <c r="G8" t="s">
        <v>17</v>
      </c>
      <c r="H8">
        <f t="shared" si="1"/>
        <v>20</v>
      </c>
    </row>
    <row r="9" spans="2:8">
      <c r="B9">
        <f t="shared" ref="B9:F9" si="2">B5-B$8*$D5</f>
        <v>-0.33333333333333304</v>
      </c>
      <c r="C9">
        <f t="shared" si="2"/>
        <v>1.3333333333333335</v>
      </c>
      <c r="D9">
        <f t="shared" si="2"/>
        <v>0</v>
      </c>
      <c r="E9">
        <f t="shared" si="2"/>
        <v>-1.6666666666666665</v>
      </c>
      <c r="F9">
        <f t="shared" si="2"/>
        <v>0.66666666666666652</v>
      </c>
      <c r="G9" t="s">
        <v>17</v>
      </c>
      <c r="H9">
        <f>H5-H$8*$D5</f>
        <v>20</v>
      </c>
    </row>
    <row r="11" spans="2:8">
      <c r="B11">
        <f>B7-B$13*$C7</f>
        <v>-0.49999999999965894</v>
      </c>
      <c r="C11">
        <f>C7-C$13*$C7</f>
        <v>0</v>
      </c>
      <c r="D11">
        <f t="shared" ref="D11:H12" si="3">D7-D$13*$C7</f>
        <v>0</v>
      </c>
      <c r="E11">
        <f t="shared" si="3"/>
        <v>0.50000000000022737</v>
      </c>
      <c r="F11">
        <f t="shared" si="3"/>
        <v>-1.0000000000002274</v>
      </c>
      <c r="G11" t="s">
        <v>17</v>
      </c>
      <c r="H11">
        <f t="shared" si="3"/>
        <v>360000</v>
      </c>
    </row>
    <row r="12" spans="2:8">
      <c r="B12">
        <f>B8-B$13*$C8</f>
        <v>0.74999999999999989</v>
      </c>
      <c r="C12">
        <f>C8-C$13*$C8</f>
        <v>0</v>
      </c>
      <c r="D12">
        <f t="shared" si="3"/>
        <v>1</v>
      </c>
      <c r="E12">
        <f t="shared" si="3"/>
        <v>0.74999999999999989</v>
      </c>
      <c r="F12">
        <f t="shared" si="3"/>
        <v>-0.49999999999999989</v>
      </c>
      <c r="G12" t="s">
        <v>17</v>
      </c>
      <c r="H12">
        <f t="shared" si="3"/>
        <v>15</v>
      </c>
    </row>
    <row r="13" spans="2:8">
      <c r="B13">
        <f>B9/$C$9</f>
        <v>-0.24999999999999975</v>
      </c>
      <c r="C13">
        <f>C9/$C$9</f>
        <v>1</v>
      </c>
      <c r="D13">
        <f t="shared" ref="D13:H13" si="4">D9/$C$9</f>
        <v>0</v>
      </c>
      <c r="E13">
        <f t="shared" si="4"/>
        <v>-1.2499999999999998</v>
      </c>
      <c r="F13">
        <f t="shared" si="4"/>
        <v>0.49999999999999983</v>
      </c>
      <c r="G13" t="s">
        <v>17</v>
      </c>
      <c r="H13">
        <f t="shared" si="4"/>
        <v>14.999999999999998</v>
      </c>
    </row>
    <row r="15" spans="2:8">
      <c r="B15">
        <f t="shared" ref="B15:E16" si="5">B11-B$17*$F11</f>
        <v>-0.99999999999977229</v>
      </c>
      <c r="C15">
        <f t="shared" si="5"/>
        <v>2.0000000000004556</v>
      </c>
      <c r="D15">
        <f t="shared" si="5"/>
        <v>0</v>
      </c>
      <c r="E15">
        <f t="shared" si="5"/>
        <v>-2.0000000000003415</v>
      </c>
      <c r="F15">
        <f>F11-F$17*$F11</f>
        <v>0</v>
      </c>
      <c r="G15" t="s">
        <v>17</v>
      </c>
      <c r="H15">
        <f t="shared" ref="H15:H16" si="6">H11-H$17*$F11</f>
        <v>360030</v>
      </c>
    </row>
    <row r="16" spans="2:8">
      <c r="B16">
        <f t="shared" si="5"/>
        <v>0.50000000000000011</v>
      </c>
      <c r="C16">
        <f t="shared" si="5"/>
        <v>1.0000000000000002</v>
      </c>
      <c r="D16">
        <f t="shared" si="5"/>
        <v>1</v>
      </c>
      <c r="E16">
        <f t="shared" si="5"/>
        <v>-0.50000000000000011</v>
      </c>
      <c r="F16">
        <f>F12-F$17*$F12</f>
        <v>0</v>
      </c>
      <c r="G16" t="s">
        <v>17</v>
      </c>
      <c r="H16">
        <f t="shared" si="6"/>
        <v>30</v>
      </c>
    </row>
    <row r="17" spans="2:8">
      <c r="B17">
        <f t="shared" ref="B17:H17" si="7">B13/$F$13</f>
        <v>-0.49999999999999967</v>
      </c>
      <c r="C17">
        <f t="shared" si="7"/>
        <v>2.0000000000000009</v>
      </c>
      <c r="D17">
        <f t="shared" si="7"/>
        <v>0</v>
      </c>
      <c r="E17">
        <f t="shared" si="7"/>
        <v>-2.5000000000000004</v>
      </c>
      <c r="F17">
        <f>F13/$F$13</f>
        <v>1</v>
      </c>
      <c r="G17" t="s">
        <v>17</v>
      </c>
      <c r="H17">
        <f t="shared" si="7"/>
        <v>30.000000000000007</v>
      </c>
    </row>
    <row r="19" spans="2:8">
      <c r="B19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7.1</vt:lpstr>
      <vt:lpstr>7.2.1)Tableau</vt:lpstr>
      <vt:lpstr>7.2.2)엑셀수식</vt:lpstr>
      <vt:lpstr>7.2.3)SimplexTable</vt:lpstr>
      <vt:lpstr>7.3.직접 손으로 계산</vt:lpstr>
      <vt:lpstr>7.4 Big-M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 진우</dc:creator>
  <cp:lastModifiedBy>장 진우</cp:lastModifiedBy>
  <dcterms:created xsi:type="dcterms:W3CDTF">2020-05-05T13:16:20Z</dcterms:created>
  <dcterms:modified xsi:type="dcterms:W3CDTF">2020-06-15T13:22:34Z</dcterms:modified>
</cp:coreProperties>
</file>