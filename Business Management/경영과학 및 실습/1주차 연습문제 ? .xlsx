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내 드라이브/4.Business/1.1 대학생활/3학년 1학기/2) 경영과학2/"/>
    </mc:Choice>
  </mc:AlternateContent>
  <xr:revisionPtr revIDLastSave="0" documentId="13_ncr:1_{7D8C6AB7-177C-3F46-B536-51DE7A7A0405}" xr6:coauthVersionLast="46" xr6:coauthVersionMax="46" xr10:uidLastSave="{00000000-0000-0000-0000-000000000000}"/>
  <bookViews>
    <workbookView xWindow="280" yWindow="720" windowWidth="19540" windowHeight="13780" xr2:uid="{37056BB9-D249-414B-9CB4-14E134A7C5ED}"/>
  </bookViews>
  <sheets>
    <sheet name="Sheet1" sheetId="1" r:id="rId1"/>
    <sheet name="Sheet2" sheetId="2" r:id="rId2"/>
  </sheets>
  <definedNames>
    <definedName name="구입모델">Sheet1!$C$4:$F$4</definedName>
    <definedName name="총구매및설치비용">Sheet1!$B$26</definedName>
    <definedName name="총비용">Sheet1!$B$26</definedName>
    <definedName name="solver_adj" localSheetId="0" hidden="1">Sheet1!$C$18:$F$18</definedName>
    <definedName name="solver_adj" localSheetId="1" hidden="1">Sheet2!$C$12:$E$15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itr" localSheetId="0" hidden="1">100</definedName>
    <definedName name="solver_itr" localSheetId="1" hidden="1">100</definedName>
    <definedName name="solver_lhs1" localSheetId="0" hidden="1">Sheet1!$C$13</definedName>
    <definedName name="solver_lhs1" localSheetId="1" hidden="1">Sheet2!$C$21</definedName>
    <definedName name="solver_lhs2" localSheetId="0" hidden="1">Sheet1!$C$14</definedName>
    <definedName name="solver_lhs2" localSheetId="1" hidden="1">Sheet2!$D$21</definedName>
    <definedName name="solver_lhs3" localSheetId="0" hidden="1">Sheet1!$C$15</definedName>
    <definedName name="solver_lhs3" localSheetId="1" hidden="1">Sheet2!$E$21</definedName>
    <definedName name="solver_lin" localSheetId="0" hidden="1">1</definedName>
    <definedName name="solver_lin" localSheetId="1" hidden="1">1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3</definedName>
    <definedName name="solver_num" localSheetId="1" hidden="1">3</definedName>
    <definedName name="solver_opt" localSheetId="0" hidden="1">Sheet1!$B$26</definedName>
    <definedName name="solver_opt" localSheetId="1" hidden="1">Sheet2!$B$25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1</definedName>
    <definedName name="solver_rel1" localSheetId="1" hidden="1">3</definedName>
    <definedName name="solver_rel2" localSheetId="0" hidden="1">1</definedName>
    <definedName name="solver_rel2" localSheetId="1" hidden="1">3</definedName>
    <definedName name="solver_rel3" localSheetId="0" hidden="1">1</definedName>
    <definedName name="solver_rel3" localSheetId="1" hidden="1">3</definedName>
    <definedName name="solver_rhs1" localSheetId="0" hidden="1">Sheet1!$E$13</definedName>
    <definedName name="solver_rhs1" localSheetId="1" hidden="1">Sheet2!$C$23</definedName>
    <definedName name="solver_rhs2" localSheetId="0" hidden="1">Sheet1!$E$14</definedName>
    <definedName name="solver_rhs2" localSheetId="1" hidden="1">Sheet2!$D$23</definedName>
    <definedName name="solver_rhs3" localSheetId="0" hidden="1">Sheet1!$E$15</definedName>
    <definedName name="solver_rhs3" localSheetId="1" hidden="1">Sheet2!$E$23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100</definedName>
    <definedName name="solver_tim" localSheetId="1" hidden="1">100</definedName>
    <definedName name="solver_tol" localSheetId="0" hidden="1">0</definedName>
    <definedName name="solver_tol" localSheetId="1" hidden="1">0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2</definedName>
    <definedName name="solver_ver" localSheetId="1" hidden="1">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2" l="1"/>
  <c r="B25" i="2"/>
  <c r="D20" i="2"/>
  <c r="C20" i="2"/>
  <c r="C21" i="2" s="1"/>
  <c r="D19" i="2" s="1"/>
  <c r="D21" i="2" s="1"/>
  <c r="E19" i="2" s="1"/>
  <c r="E21" i="2" s="1"/>
  <c r="E15" i="1"/>
  <c r="E14" i="1"/>
  <c r="E13" i="1"/>
  <c r="C24" i="1"/>
  <c r="C23" i="1"/>
  <c r="C22" i="1"/>
  <c r="B26" i="1" l="1"/>
</calcChain>
</file>

<file path=xl/sharedStrings.xml><?xml version="1.0" encoding="utf-8"?>
<sst xmlns="http://schemas.openxmlformats.org/spreadsheetml/2006/main" count="52" uniqueCount="32">
  <si>
    <t>H전력의 발전기 구입모형</t>
    <phoneticPr fontId="1" type="noConversion"/>
  </si>
  <si>
    <t>입력자료</t>
    <phoneticPr fontId="1" type="noConversion"/>
  </si>
  <si>
    <t>구입모델</t>
    <phoneticPr fontId="1" type="noConversion"/>
  </si>
  <si>
    <t>10MW</t>
    <phoneticPr fontId="1" type="noConversion"/>
  </si>
  <si>
    <t>25MW</t>
    <phoneticPr fontId="1" type="noConversion"/>
  </si>
  <si>
    <t>50MW</t>
    <phoneticPr fontId="1" type="noConversion"/>
  </si>
  <si>
    <t>100MW</t>
    <phoneticPr fontId="1" type="noConversion"/>
  </si>
  <si>
    <t>구매 및 설치비용</t>
    <phoneticPr fontId="1" type="noConversion"/>
  </si>
  <si>
    <t>1차년도</t>
    <phoneticPr fontId="1" type="noConversion"/>
  </si>
  <si>
    <t>2차년도</t>
    <phoneticPr fontId="1" type="noConversion"/>
  </si>
  <si>
    <t>3차년도</t>
    <phoneticPr fontId="1" type="noConversion"/>
  </si>
  <si>
    <t>최소 발전용량 (MW)</t>
    <phoneticPr fontId="1" type="noConversion"/>
  </si>
  <si>
    <t>구입대수 변수 (정수)</t>
    <phoneticPr fontId="1" type="noConversion"/>
  </si>
  <si>
    <t>&lt;=</t>
    <phoneticPr fontId="1" type="noConversion"/>
  </si>
  <si>
    <t>발전기 용량(MW)</t>
    <phoneticPr fontId="1" type="noConversion"/>
  </si>
  <si>
    <t>총 구매 및 설치비용</t>
    <phoneticPr fontId="1" type="noConversion"/>
  </si>
  <si>
    <t>과제1 6.4 (H전력의 발전기 구매계획)</t>
    <phoneticPr fontId="1" type="noConversion"/>
  </si>
  <si>
    <t>입력자료(발전기별 구매 및 설치비용: 천만원)</t>
    <phoneticPr fontId="1" type="noConversion"/>
  </si>
  <si>
    <t>발전기</t>
    <phoneticPr fontId="1" type="noConversion"/>
  </si>
  <si>
    <t>10Mw</t>
    <phoneticPr fontId="1" type="noConversion"/>
  </si>
  <si>
    <t>25Mw</t>
    <phoneticPr fontId="1" type="noConversion"/>
  </si>
  <si>
    <t>50Mw</t>
    <phoneticPr fontId="1" type="noConversion"/>
  </si>
  <si>
    <t>100Mw</t>
    <phoneticPr fontId="1" type="noConversion"/>
  </si>
  <si>
    <t>구매계획</t>
    <phoneticPr fontId="1" type="noConversion"/>
  </si>
  <si>
    <t>발전기(Mw)</t>
    <phoneticPr fontId="1" type="noConversion"/>
  </si>
  <si>
    <t>연도별 발전용량</t>
    <phoneticPr fontId="1" type="noConversion"/>
  </si>
  <si>
    <t>연초용량</t>
    <phoneticPr fontId="1" type="noConversion"/>
  </si>
  <si>
    <t>구매용량</t>
    <phoneticPr fontId="1" type="noConversion"/>
  </si>
  <si>
    <t>연말용량</t>
    <phoneticPr fontId="1" type="noConversion"/>
  </si>
  <si>
    <t>최소전력 수요량</t>
    <phoneticPr fontId="1" type="noConversion"/>
  </si>
  <si>
    <t>&gt;=</t>
    <phoneticPr fontId="1" type="noConversion"/>
  </si>
  <si>
    <t>총비용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</si>
</sst>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4" xfId="0" applyBorder="1">
      <alignment vertical="center"/>
    </xf>
    <xf numFmtId="0" fontId="0" fillId="0" borderId="0" xfId="0" applyBorder="1">
      <alignment vertical="center"/>
    </xf>
    <xf numFmtId="0" fontId="0" fillId="0" borderId="15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BFE63-D834-E14C-AE7F-FFE81D968A7D}">
  <dimension ref="A1:F26"/>
  <sheetViews>
    <sheetView tabSelected="1" topLeftCell="A5" workbookViewId="0">
      <selection activeCell="C22" sqref="C22"/>
    </sheetView>
  </sheetViews>
  <sheetFormatPr baseColWidth="10" defaultRowHeight="18"/>
  <cols>
    <col min="1" max="1" width="16.42578125" customWidth="1"/>
    <col min="2" max="2" width="16.85546875" customWidth="1"/>
    <col min="3" max="3" width="16.5703125" customWidth="1"/>
    <col min="4" max="4" width="17" customWidth="1"/>
  </cols>
  <sheetData>
    <row r="1" spans="1:6">
      <c r="A1" t="s">
        <v>0</v>
      </c>
    </row>
    <row r="3" spans="1:6">
      <c r="A3" t="s">
        <v>1</v>
      </c>
    </row>
    <row r="4" spans="1:6">
      <c r="C4" s="17" t="s">
        <v>2</v>
      </c>
      <c r="D4" s="18"/>
      <c r="E4" s="18"/>
      <c r="F4" s="19"/>
    </row>
    <row r="5" spans="1:6">
      <c r="C5" s="17" t="s">
        <v>14</v>
      </c>
      <c r="D5" s="18"/>
      <c r="E5" s="18"/>
      <c r="F5" s="19"/>
    </row>
    <row r="6" spans="1:6">
      <c r="C6" s="1">
        <v>10</v>
      </c>
      <c r="D6" s="2">
        <v>25</v>
      </c>
      <c r="E6" s="2">
        <v>50</v>
      </c>
      <c r="F6" s="3">
        <v>100</v>
      </c>
    </row>
    <row r="7" spans="1:6">
      <c r="A7" t="s">
        <v>7</v>
      </c>
      <c r="B7" s="4" t="s">
        <v>8</v>
      </c>
      <c r="C7" s="11">
        <v>36</v>
      </c>
      <c r="D7" s="12">
        <v>55</v>
      </c>
      <c r="E7" s="12">
        <v>80</v>
      </c>
      <c r="F7" s="13">
        <v>114</v>
      </c>
    </row>
    <row r="8" spans="1:6">
      <c r="B8" s="5" t="s">
        <v>9</v>
      </c>
      <c r="C8" s="14">
        <v>30</v>
      </c>
      <c r="D8" s="15">
        <v>45</v>
      </c>
      <c r="E8" s="15">
        <v>67</v>
      </c>
      <c r="F8" s="16">
        <v>95</v>
      </c>
    </row>
    <row r="9" spans="1:6">
      <c r="B9" s="6" t="s">
        <v>10</v>
      </c>
      <c r="C9" s="1">
        <v>24</v>
      </c>
      <c r="D9" s="2">
        <v>42</v>
      </c>
      <c r="E9" s="2">
        <v>56</v>
      </c>
      <c r="F9" s="3">
        <v>80</v>
      </c>
    </row>
    <row r="12" spans="1:6">
      <c r="C12" t="s">
        <v>11</v>
      </c>
    </row>
    <row r="13" spans="1:6">
      <c r="B13" s="4" t="s">
        <v>8</v>
      </c>
      <c r="C13" s="4">
        <v>780</v>
      </c>
      <c r="D13" t="s">
        <v>13</v>
      </c>
      <c r="E13" s="4">
        <f>SUMPRODUCT($C$18:$F$18,$C$6:$F$6)</f>
        <v>0</v>
      </c>
    </row>
    <row r="14" spans="1:6">
      <c r="B14" s="5" t="s">
        <v>9</v>
      </c>
      <c r="C14" s="5">
        <v>860</v>
      </c>
      <c r="D14" t="s">
        <v>13</v>
      </c>
      <c r="E14" s="5">
        <f>SUMPRODUCT($C$18:$F$18,$C$6:$F$6)</f>
        <v>0</v>
      </c>
    </row>
    <row r="15" spans="1:6">
      <c r="B15" s="6" t="s">
        <v>10</v>
      </c>
      <c r="C15" s="6">
        <v>950</v>
      </c>
      <c r="D15" t="s">
        <v>13</v>
      </c>
      <c r="E15" s="6">
        <f>SUMPRODUCT($C$18:$F$18,$C$6:$F$6)</f>
        <v>0</v>
      </c>
    </row>
    <row r="17" spans="1:6">
      <c r="C17" s="7" t="s">
        <v>3</v>
      </c>
      <c r="D17" s="8" t="s">
        <v>4</v>
      </c>
      <c r="E17" s="8" t="s">
        <v>5</v>
      </c>
      <c r="F17" s="9" t="s">
        <v>6</v>
      </c>
    </row>
    <row r="18" spans="1:6">
      <c r="A18" t="s">
        <v>12</v>
      </c>
      <c r="B18" s="15"/>
      <c r="C18" s="7">
        <v>0</v>
      </c>
      <c r="D18" s="8">
        <v>0</v>
      </c>
      <c r="E18" s="8">
        <v>0</v>
      </c>
      <c r="F18" s="9">
        <v>0</v>
      </c>
    </row>
    <row r="19" spans="1:6">
      <c r="B19" s="15"/>
    </row>
    <row r="20" spans="1:6">
      <c r="B20" s="15"/>
    </row>
    <row r="22" spans="1:6">
      <c r="A22" t="s">
        <v>7</v>
      </c>
      <c r="B22" t="s">
        <v>8</v>
      </c>
      <c r="C22">
        <f>SUMPRODUCT($C$18:$F$18,C7:F7)</f>
        <v>0</v>
      </c>
    </row>
    <row r="23" spans="1:6">
      <c r="B23" t="s">
        <v>9</v>
      </c>
      <c r="C23">
        <f>SUMPRODUCT($C$18:$F$18,C8:F8)</f>
        <v>0</v>
      </c>
    </row>
    <row r="24" spans="1:6">
      <c r="B24" t="s">
        <v>10</v>
      </c>
      <c r="C24">
        <f>SUMPRODUCT($C$18:$F$18,C9:F9)</f>
        <v>0</v>
      </c>
    </row>
    <row r="26" spans="1:6">
      <c r="A26" t="s">
        <v>15</v>
      </c>
      <c r="B26" s="10">
        <f>SUM(C22:C24)</f>
        <v>0</v>
      </c>
    </row>
  </sheetData>
  <mergeCells count="2">
    <mergeCell ref="C4:F4"/>
    <mergeCell ref="C5:F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90DC-0462-174D-ACFA-48BEBDEC0819}">
  <dimension ref="A1:E25"/>
  <sheetViews>
    <sheetView topLeftCell="A3" workbookViewId="0">
      <selection activeCell="B25" sqref="B25"/>
    </sheetView>
  </sheetViews>
  <sheetFormatPr baseColWidth="10" defaultRowHeight="18"/>
  <cols>
    <col min="1" max="1" width="14.140625" customWidth="1"/>
    <col min="2" max="2" width="13.7109375" customWidth="1"/>
    <col min="3" max="3" width="21.5703125" customWidth="1"/>
  </cols>
  <sheetData>
    <row r="1" spans="1:5">
      <c r="A1" t="s">
        <v>16</v>
      </c>
    </row>
    <row r="3" spans="1:5">
      <c r="A3" t="s">
        <v>17</v>
      </c>
    </row>
    <row r="4" spans="1:5">
      <c r="B4" t="s">
        <v>18</v>
      </c>
      <c r="C4" t="s">
        <v>8</v>
      </c>
      <c r="D4" t="s">
        <v>9</v>
      </c>
      <c r="E4" t="s">
        <v>10</v>
      </c>
    </row>
    <row r="5" spans="1:5">
      <c r="B5" t="s">
        <v>19</v>
      </c>
      <c r="C5">
        <v>36</v>
      </c>
      <c r="D5">
        <v>30</v>
      </c>
      <c r="E5">
        <v>24</v>
      </c>
    </row>
    <row r="6" spans="1:5">
      <c r="B6" t="s">
        <v>20</v>
      </c>
      <c r="C6">
        <v>55</v>
      </c>
      <c r="D6">
        <v>45</v>
      </c>
      <c r="E6">
        <v>42</v>
      </c>
    </row>
    <row r="7" spans="1:5">
      <c r="B7" t="s">
        <v>21</v>
      </c>
      <c r="C7">
        <v>80</v>
      </c>
      <c r="D7">
        <v>67</v>
      </c>
      <c r="E7">
        <v>56</v>
      </c>
    </row>
    <row r="8" spans="1:5">
      <c r="B8" t="s">
        <v>22</v>
      </c>
      <c r="C8">
        <v>114</v>
      </c>
      <c r="D8">
        <v>95</v>
      </c>
      <c r="E8">
        <v>80</v>
      </c>
    </row>
    <row r="10" spans="1:5">
      <c r="A10" t="s">
        <v>23</v>
      </c>
    </row>
    <row r="11" spans="1:5">
      <c r="B11" t="s">
        <v>24</v>
      </c>
      <c r="C11" t="s">
        <v>8</v>
      </c>
      <c r="D11" t="s">
        <v>9</v>
      </c>
      <c r="E11" t="s">
        <v>10</v>
      </c>
    </row>
    <row r="12" spans="1:5">
      <c r="B12">
        <v>10</v>
      </c>
      <c r="C12" s="20">
        <v>0</v>
      </c>
      <c r="D12" s="20">
        <v>0</v>
      </c>
      <c r="E12" s="20">
        <v>0</v>
      </c>
    </row>
    <row r="13" spans="1:5">
      <c r="B13">
        <v>25</v>
      </c>
      <c r="C13" s="20">
        <v>0</v>
      </c>
      <c r="D13" s="20">
        <v>3</v>
      </c>
      <c r="E13" s="20">
        <v>1</v>
      </c>
    </row>
    <row r="14" spans="1:5">
      <c r="B14">
        <v>50</v>
      </c>
      <c r="C14" s="20">
        <v>1</v>
      </c>
      <c r="D14" s="20">
        <v>0</v>
      </c>
      <c r="E14" s="20">
        <v>1</v>
      </c>
    </row>
    <row r="15" spans="1:5">
      <c r="B15">
        <v>100</v>
      </c>
      <c r="C15" s="20">
        <v>0</v>
      </c>
      <c r="D15" s="20">
        <v>0</v>
      </c>
      <c r="E15" s="20">
        <v>0</v>
      </c>
    </row>
    <row r="17" spans="1:5">
      <c r="A17" t="s">
        <v>25</v>
      </c>
    </row>
    <row r="18" spans="1:5">
      <c r="C18" t="s">
        <v>8</v>
      </c>
      <c r="D18" t="s">
        <v>9</v>
      </c>
      <c r="E18" t="s">
        <v>10</v>
      </c>
    </row>
    <row r="19" spans="1:5">
      <c r="B19" t="s">
        <v>26</v>
      </c>
      <c r="C19">
        <v>750</v>
      </c>
      <c r="D19">
        <f>C21</f>
        <v>800</v>
      </c>
      <c r="E19">
        <f>D21</f>
        <v>875</v>
      </c>
    </row>
    <row r="20" spans="1:5">
      <c r="B20" t="s">
        <v>27</v>
      </c>
      <c r="C20">
        <f>SUMPRODUCT($B$12:$B$15,C12:C15)</f>
        <v>50</v>
      </c>
      <c r="D20">
        <f>SUMPRODUCT($B$12:$B$15,D12:D15)</f>
        <v>75</v>
      </c>
      <c r="E20">
        <f>SUMPRODUCT($B$12:$B$15,E12:E15)</f>
        <v>75</v>
      </c>
    </row>
    <row r="21" spans="1:5">
      <c r="B21" t="s">
        <v>28</v>
      </c>
      <c r="C21">
        <f>C19+C20</f>
        <v>800</v>
      </c>
      <c r="D21">
        <f t="shared" ref="D21" si="0">D19+D20</f>
        <v>875</v>
      </c>
      <c r="E21">
        <f>E19+E20</f>
        <v>950</v>
      </c>
    </row>
    <row r="22" spans="1:5">
      <c r="C22" t="s">
        <v>30</v>
      </c>
      <c r="D22" t="s">
        <v>30</v>
      </c>
      <c r="E22" t="s">
        <v>30</v>
      </c>
    </row>
    <row r="23" spans="1:5">
      <c r="B23" t="s">
        <v>29</v>
      </c>
      <c r="C23">
        <v>780</v>
      </c>
      <c r="D23">
        <v>860</v>
      </c>
      <c r="E23">
        <v>950</v>
      </c>
    </row>
    <row r="25" spans="1:5">
      <c r="A25" t="s">
        <v>31</v>
      </c>
      <c r="B25">
        <f>SUMPRODUCT(C5:E8,C12:E15)</f>
        <v>313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Sheet1</vt:lpstr>
      <vt:lpstr>Sheet2</vt:lpstr>
      <vt:lpstr>구입모델</vt:lpstr>
      <vt:lpstr>총구매및설치비용</vt:lpstr>
      <vt:lpstr>총비용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진우</dc:creator>
  <cp:lastModifiedBy>장 진우</cp:lastModifiedBy>
  <dcterms:created xsi:type="dcterms:W3CDTF">2021-03-02T05:41:09Z</dcterms:created>
  <dcterms:modified xsi:type="dcterms:W3CDTF">2021-04-20T00:21:15Z</dcterms:modified>
</cp:coreProperties>
</file>