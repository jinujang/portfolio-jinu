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드라이브/1.실행/대학생활/2학년 1학기/ㄴ 경영과학1 및 실습/8~15주차/"/>
    </mc:Choice>
  </mc:AlternateContent>
  <xr:revisionPtr revIDLastSave="0" documentId="13_ncr:1_{A623DF4E-C142-E940-9C2F-79251F32C5A0}" xr6:coauthVersionLast="45" xr6:coauthVersionMax="45" xr10:uidLastSave="{00000000-0000-0000-0000-000000000000}"/>
  <bookViews>
    <workbookView xWindow="6120" yWindow="1020" windowWidth="22320" windowHeight="12340" xr2:uid="{A79F7E3E-5171-3543-A348-D4BAF5534BEC}"/>
  </bookViews>
  <sheets>
    <sheet name="실습과제9 민감도이론분석" sheetId="1" r:id="rId1"/>
    <sheet name="연습문제 19" sheetId="2" r:id="rId2"/>
    <sheet name="민감도 보고서 2" sheetId="7" r:id="rId3"/>
  </sheets>
  <definedNames>
    <definedName name="solver_adj" localSheetId="1" hidden="1">'연습문제 19'!$C$60:$H$60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'연습문제 19'!$J$59</definedName>
    <definedName name="solver_lhs2" localSheetId="1" hidden="1">'연습문제 19'!$J$60</definedName>
    <definedName name="solver_lhs3" localSheetId="1" hidden="1">'연습문제 19'!$J$61</definedName>
    <definedName name="solver_lhs4" localSheetId="1" hidden="1">'연습문제 19'!$J$62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opt" localSheetId="1" hidden="1">'연습문제 19'!$I$8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hs1" localSheetId="1" hidden="1">'연습문제 19'!$L$59</definedName>
    <definedName name="solver_rhs2" localSheetId="1" hidden="1">'연습문제 19'!$L$60</definedName>
    <definedName name="solver_rhs3" localSheetId="1" hidden="1">'연습문제 19'!$L$61</definedName>
    <definedName name="solver_rhs4" localSheetId="1" hidden="1">'연습문제 19'!$L$62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2" i="2" l="1"/>
  <c r="J59" i="2"/>
  <c r="J62" i="2"/>
  <c r="J60" i="2"/>
  <c r="J61" i="2"/>
  <c r="I10" i="2"/>
  <c r="I11" i="2"/>
  <c r="B10" i="2"/>
  <c r="B9" i="2"/>
  <c r="D10" i="2"/>
  <c r="D9" i="2"/>
  <c r="E10" i="2"/>
  <c r="E11" i="2"/>
  <c r="F10" i="2"/>
  <c r="F11" i="2"/>
  <c r="G10" i="2"/>
  <c r="G9" i="2"/>
  <c r="C10" i="2"/>
  <c r="C9" i="2"/>
  <c r="I9" i="2"/>
  <c r="I8" i="2"/>
  <c r="F9" i="2"/>
  <c r="F8" i="2"/>
  <c r="D11" i="2"/>
  <c r="C8" i="2"/>
  <c r="E8" i="2"/>
  <c r="E9" i="2"/>
  <c r="G11" i="2"/>
  <c r="C11" i="2"/>
  <c r="B8" i="2"/>
  <c r="D8" i="2"/>
  <c r="B11" i="2"/>
  <c r="G8" i="2"/>
</calcChain>
</file>

<file path=xl/sharedStrings.xml><?xml version="1.0" encoding="utf-8"?>
<sst xmlns="http://schemas.openxmlformats.org/spreadsheetml/2006/main" count="188" uniqueCount="130">
  <si>
    <t>초기해</t>
  </si>
  <si>
    <t>초기해</t>
    <phoneticPr fontId="2" type="noConversion"/>
  </si>
  <si>
    <t>(1) 비기저변수</t>
    <phoneticPr fontId="2" type="noConversion"/>
  </si>
  <si>
    <t>네 제약식에 미치는 영향</t>
    <phoneticPr fontId="2" type="noConversion"/>
  </si>
  <si>
    <t>(x2,s2,x3,s3)의 값은 (0,4,2.67,-1.33)만큼 감소</t>
    <phoneticPr fontId="2" type="noConversion"/>
  </si>
  <si>
    <t>이익의 변화</t>
    <phoneticPr fontId="2" type="noConversion"/>
  </si>
  <si>
    <t>(0,4,2.67,-1.33)(20,0,16,0)-30=12.67</t>
    <phoneticPr fontId="2" type="noConversion"/>
  </si>
  <si>
    <t>12.67만큼 감소</t>
    <phoneticPr fontId="2" type="noConversion"/>
  </si>
  <si>
    <t>심플렉스 표의 표현</t>
    <phoneticPr fontId="2" type="noConversion"/>
  </si>
  <si>
    <t>x1</t>
  </si>
  <si>
    <t>x1</t>
    <phoneticPr fontId="2" type="noConversion"/>
  </si>
  <si>
    <t>최적해의 1행1열</t>
    <phoneticPr fontId="2" type="noConversion"/>
  </si>
  <si>
    <t>x2</t>
  </si>
  <si>
    <t>x2</t>
    <phoneticPr fontId="2" type="noConversion"/>
  </si>
  <si>
    <t>x3</t>
  </si>
  <si>
    <t>x3</t>
    <phoneticPr fontId="2" type="noConversion"/>
  </si>
  <si>
    <t>s1</t>
  </si>
  <si>
    <t>s1</t>
    <phoneticPr fontId="2" type="noConversion"/>
  </si>
  <si>
    <t>s2</t>
  </si>
  <si>
    <t>s2</t>
    <phoneticPr fontId="2" type="noConversion"/>
  </si>
  <si>
    <t>s3</t>
  </si>
  <si>
    <t>s3</t>
    <phoneticPr fontId="2" type="noConversion"/>
  </si>
  <si>
    <t>우변상수</t>
  </si>
  <si>
    <t>우변상수</t>
    <phoneticPr fontId="2" type="noConversion"/>
  </si>
  <si>
    <t>=</t>
  </si>
  <si>
    <t>=</t>
    <phoneticPr fontId="2" type="noConversion"/>
  </si>
  <si>
    <t>최적해</t>
  </si>
  <si>
    <t>최적해</t>
    <phoneticPr fontId="2" type="noConversion"/>
  </si>
  <si>
    <t>(2) 기저변수</t>
    <phoneticPr fontId="2" type="noConversion"/>
  </si>
  <si>
    <t>x2의 한계비용</t>
    <phoneticPr fontId="2" type="noConversion"/>
  </si>
  <si>
    <t>(1,0,0,0)(20,0,16,0)-20=0</t>
    <phoneticPr fontId="2" type="noConversion"/>
  </si>
  <si>
    <t>(3) 허용가능 증감치</t>
    <phoneticPr fontId="2" type="noConversion"/>
  </si>
  <si>
    <t>(0,0,2.67,-1.33)(20,0,16,0)-(30+delta)=12.67-delta</t>
    <phoneticPr fontId="2" type="noConversion"/>
  </si>
  <si>
    <t>최적이려면 12.67-delta&gt;=0</t>
    <phoneticPr fontId="2" type="noConversion"/>
  </si>
  <si>
    <t>delta&lt;=12.67</t>
    <phoneticPr fontId="2" type="noConversion"/>
  </si>
  <si>
    <t>(4) 목표셀 계수의 허용가능 증감치:기저변수</t>
    <phoneticPr fontId="2" type="noConversion"/>
  </si>
  <si>
    <t>&lt;=</t>
    <phoneticPr fontId="2" type="noConversion"/>
  </si>
  <si>
    <t>deltac2</t>
    <phoneticPr fontId="2" type="noConversion"/>
  </si>
  <si>
    <t>(5)우변상수 계수의 허용가능 증감치</t>
    <phoneticPr fontId="2" type="noConversion"/>
  </si>
  <si>
    <t>목적함수계수 (12.67+4delta, 0, 0, 5.33, delta, 0, 4-delta)</t>
    <phoneticPr fontId="2" type="noConversion"/>
  </si>
  <si>
    <t>(240+delb1, 200, 100, 40)= (40,40,40,20)+ del(0, 0, 0.33, -0.67)</t>
    <phoneticPr fontId="2" type="noConversion"/>
  </si>
  <si>
    <t>우변값 &gt;=0</t>
    <phoneticPr fontId="2" type="noConversion"/>
  </si>
  <si>
    <t>delb2</t>
    <phoneticPr fontId="2" type="noConversion"/>
  </si>
  <si>
    <t>(6) 잠재가격</t>
    <phoneticPr fontId="2" type="noConversion"/>
  </si>
  <si>
    <t>(0, 240, 200, 100, 40)+(0,0,0,0,1)</t>
    <phoneticPr fontId="2" type="noConversion"/>
  </si>
  <si>
    <t>&gt; (1440,40,40,40,20)+(4,1,-4,-1,2)</t>
    <phoneticPr fontId="2" type="noConversion"/>
  </si>
  <si>
    <t>잠재가는 4</t>
    <phoneticPr fontId="2" type="noConversion"/>
  </si>
  <si>
    <t>2. 최소화문제</t>
    <phoneticPr fontId="2" type="noConversion"/>
  </si>
  <si>
    <t>(1) 한계비용</t>
    <phoneticPr fontId="2" type="noConversion"/>
  </si>
  <si>
    <t>200,260,80,0,0,20</t>
    <phoneticPr fontId="2" type="noConversion"/>
  </si>
  <si>
    <t>(2) 잠재가격</t>
    <phoneticPr fontId="2" type="noConversion"/>
  </si>
  <si>
    <t>잠재가격은 인위변수의 zj</t>
  </si>
  <si>
    <t>zj-cr1= 99985</t>
  </si>
  <si>
    <t>cr1= -100000</t>
  </si>
  <si>
    <t>zr1= -15</t>
  </si>
  <si>
    <t>zr2를 계산하면 -4</t>
  </si>
  <si>
    <t>최소화문제이므로 부호를 바꾼 15,4</t>
  </si>
  <si>
    <t>x1: 3</t>
    <phoneticPr fontId="2" type="noConversion"/>
  </si>
  <si>
    <t>x3: 2</t>
    <phoneticPr fontId="2" type="noConversion"/>
  </si>
  <si>
    <t>x2: 8</t>
    <phoneticPr fontId="2" type="noConversion"/>
  </si>
  <si>
    <t>(2) 잠재가</t>
    <phoneticPr fontId="2" type="noConversion"/>
  </si>
  <si>
    <t>첫 제약식 0</t>
    <phoneticPr fontId="2" type="noConversion"/>
  </si>
  <si>
    <t>2번째 제약식 2</t>
    <phoneticPr fontId="2" type="noConversion"/>
  </si>
  <si>
    <t>3번째 제약식 0</t>
    <phoneticPr fontId="2" type="noConversion"/>
  </si>
  <si>
    <t>(3) 허용가능증감</t>
    <phoneticPr fontId="2" type="noConversion"/>
  </si>
  <si>
    <t>비기저 x13</t>
    <phoneticPr fontId="2" type="noConversion"/>
  </si>
  <si>
    <t>기저 x2</t>
    <phoneticPr fontId="2" type="noConversion"/>
  </si>
  <si>
    <t>변수 x1</t>
    <phoneticPr fontId="2" type="noConversion"/>
  </si>
  <si>
    <t>최적해 기저 s1 x2 s2</t>
    <phoneticPr fontId="2" type="noConversion"/>
  </si>
  <si>
    <t>피벗 x2 3</t>
    <phoneticPr fontId="2" type="noConversion"/>
  </si>
  <si>
    <t>(0,8,0)</t>
    <phoneticPr fontId="2" type="noConversion"/>
  </si>
  <si>
    <t>(1.25, 0.75, 4)(0,8,0) - (3+delta)=3-delta</t>
    <phoneticPr fontId="2" type="noConversion"/>
  </si>
  <si>
    <t>delta</t>
    <phoneticPr fontId="2" type="noConversion"/>
  </si>
  <si>
    <t>&lt;=3</t>
    <phoneticPr fontId="2" type="noConversion"/>
  </si>
  <si>
    <t>허용가능증가=3</t>
    <phoneticPr fontId="2" type="noConversion"/>
  </si>
  <si>
    <t>허용가능감소=무한</t>
    <phoneticPr fontId="2" type="noConversion"/>
  </si>
  <si>
    <t>변수 x2</t>
    <phoneticPr fontId="2" type="noConversion"/>
  </si>
  <si>
    <t>허용가능증가</t>
    <phoneticPr fontId="2" type="noConversion"/>
  </si>
  <si>
    <t>변수 x3</t>
    <phoneticPr fontId="2" type="noConversion"/>
  </si>
  <si>
    <t>(0.75, 0.25, 5)(0,8,0)-(2+delta)=-delta</t>
    <phoneticPr fontId="2" type="noConversion"/>
  </si>
  <si>
    <t>허용가능감소</t>
    <phoneticPr fontId="2" type="noConversion"/>
  </si>
  <si>
    <t>무한</t>
    <phoneticPr fontId="2" type="noConversion"/>
  </si>
  <si>
    <t>(0,1,0)(0,8+delta,0)-8=8+delta</t>
    <phoneticPr fontId="2" type="noConversion"/>
  </si>
  <si>
    <t>(0.75, 0.25, 5)(0,8+delta,0)-2=0.25delta</t>
    <phoneticPr fontId="2" type="noConversion"/>
  </si>
  <si>
    <t>(1.25,0.75,4)(0,8+delta,0)-3=6+0.75delta</t>
    <phoneticPr fontId="2" type="noConversion"/>
  </si>
  <si>
    <t>(1,0,0)(0,8+delta,0)=0</t>
    <phoneticPr fontId="2" type="noConversion"/>
  </si>
  <si>
    <t>(-0.25,0.25,1)(0,8+delta,0)=2+0.25delta</t>
    <phoneticPr fontId="2" type="noConversion"/>
  </si>
  <si>
    <t>(0,0,1)(0,8+delta,0)=0</t>
    <phoneticPr fontId="2" type="noConversion"/>
  </si>
  <si>
    <t>최적해가 유지되기 위한 조건</t>
    <phoneticPr fontId="2" type="noConversion"/>
  </si>
  <si>
    <t>(4)우변상수</t>
    <phoneticPr fontId="2" type="noConversion"/>
  </si>
  <si>
    <t>(15,25,124)+(1,0,0)delta=(15+delta, 25, 124)</t>
    <phoneticPr fontId="2" type="noConversion"/>
  </si>
  <si>
    <t>(15,25,124)+ (-0.25,0.25,1)delta= (15-0.25delta, 25+0.25delta, 124+delta)</t>
    <phoneticPr fontId="2" type="noConversion"/>
  </si>
  <si>
    <t>(15,25,124)+ (0,0,1)delta=(15, 25, 124+delta)</t>
    <phoneticPr fontId="2" type="noConversion"/>
  </si>
  <si>
    <t>첫번째 제약식</t>
    <phoneticPr fontId="2" type="noConversion"/>
  </si>
  <si>
    <t>두번째 제약식</t>
    <phoneticPr fontId="2" type="noConversion"/>
  </si>
  <si>
    <t>세번째 제약식</t>
    <phoneticPr fontId="2" type="noConversion"/>
  </si>
  <si>
    <t>(5) 해찾기</t>
    <phoneticPr fontId="2" type="noConversion"/>
  </si>
  <si>
    <t>변수</t>
    <phoneticPr fontId="2" type="noConversion"/>
  </si>
  <si>
    <t>제한조건</t>
    <phoneticPr fontId="2" type="noConversion"/>
  </si>
  <si>
    <t>Microsoft Excel 16.37 민감도 보고서</t>
  </si>
  <si>
    <t>워크시트 이름: [10주차 실습과제.xlsx]연습문제 19</t>
  </si>
  <si>
    <t>변수 셀</t>
  </si>
  <si>
    <t>셀</t>
  </si>
  <si>
    <t>이름</t>
  </si>
  <si>
    <t>계산</t>
  </si>
  <si>
    <t>값</t>
  </si>
  <si>
    <t>한계</t>
  </si>
  <si>
    <t>비용</t>
  </si>
  <si>
    <t>목표 셀</t>
  </si>
  <si>
    <t>계수</t>
  </si>
  <si>
    <t>허용 가능</t>
  </si>
  <si>
    <t>증가치</t>
  </si>
  <si>
    <t>감소치</t>
  </si>
  <si>
    <t>제한 조건</t>
  </si>
  <si>
    <t>잠재</t>
  </si>
  <si>
    <t>가격</t>
  </si>
  <si>
    <t>우변</t>
  </si>
  <si>
    <t>$C$60</t>
  </si>
  <si>
    <t>$D$60</t>
  </si>
  <si>
    <t>$E$60</t>
  </si>
  <si>
    <t>$G$60</t>
  </si>
  <si>
    <t>$F$60</t>
  </si>
  <si>
    <t>$H$60</t>
  </si>
  <si>
    <t>$J$59</t>
  </si>
  <si>
    <t>제한조건 우변상수</t>
  </si>
  <si>
    <t>$J$60</t>
  </si>
  <si>
    <t>$J$61</t>
  </si>
  <si>
    <t>$J$62</t>
  </si>
  <si>
    <t>최적해 우변상수</t>
  </si>
  <si>
    <t>보고서 작성일: 2020. 5. 20. 1:53:55 오전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</si>
</sst>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1"/>
      <color rgb="FF000000"/>
      <name val="Arial"/>
      <family val="2"/>
    </font>
    <font>
      <sz val="12"/>
      <color indexed="1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1" xfId="0" applyFont="1" applyBorder="1">
      <alignment vertical="center"/>
    </xf>
    <xf numFmtId="0" fontId="0" fillId="0" borderId="0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1" fillId="0" borderId="0" xfId="0" applyFont="1">
      <alignment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0" fillId="0" borderId="3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1C74-BD0C-BF4F-B758-91CFD5F6DB8B}">
  <dimension ref="A1:G34"/>
  <sheetViews>
    <sheetView tabSelected="1" topLeftCell="A10" workbookViewId="0">
      <selection activeCell="J19" sqref="J19"/>
    </sheetView>
  </sheetViews>
  <sheetFormatPr defaultColWidth="10.890625" defaultRowHeight="17.25" x14ac:dyDescent="0.25"/>
  <cols>
    <col min="1" max="1" width="13.84375" customWidth="1"/>
  </cols>
  <sheetData>
    <row r="1" spans="1:7" x14ac:dyDescent="0.25">
      <c r="A1" t="s">
        <v>2</v>
      </c>
    </row>
    <row r="2" spans="1:7" x14ac:dyDescent="0.25">
      <c r="A2" t="s">
        <v>3</v>
      </c>
      <c r="C2" t="s">
        <v>4</v>
      </c>
    </row>
    <row r="3" spans="1:7" x14ac:dyDescent="0.25">
      <c r="A3" t="s">
        <v>5</v>
      </c>
      <c r="B3" t="s">
        <v>6</v>
      </c>
      <c r="E3" t="s">
        <v>7</v>
      </c>
    </row>
    <row r="4" spans="1:7" x14ac:dyDescent="0.25">
      <c r="A4" t="s">
        <v>8</v>
      </c>
      <c r="C4" t="s">
        <v>11</v>
      </c>
    </row>
    <row r="6" spans="1:7" x14ac:dyDescent="0.25">
      <c r="A6" t="s">
        <v>28</v>
      </c>
    </row>
    <row r="7" spans="1:7" x14ac:dyDescent="0.25">
      <c r="A7" t="s">
        <v>29</v>
      </c>
      <c r="B7" t="s">
        <v>30</v>
      </c>
    </row>
    <row r="9" spans="1:7" x14ac:dyDescent="0.25">
      <c r="A9" t="s">
        <v>31</v>
      </c>
    </row>
    <row r="10" spans="1:7" x14ac:dyDescent="0.25">
      <c r="B10" t="s">
        <v>32</v>
      </c>
    </row>
    <row r="11" spans="1:7" x14ac:dyDescent="0.25">
      <c r="B11" t="s">
        <v>33</v>
      </c>
      <c r="E11" t="s">
        <v>34</v>
      </c>
    </row>
    <row r="13" spans="1:7" x14ac:dyDescent="0.25">
      <c r="A13" t="s">
        <v>35</v>
      </c>
    </row>
    <row r="14" spans="1:7" x14ac:dyDescent="0.25">
      <c r="B14" t="s">
        <v>39</v>
      </c>
    </row>
    <row r="15" spans="1:7" x14ac:dyDescent="0.25">
      <c r="C15">
        <v>0</v>
      </c>
      <c r="D15" t="s">
        <v>36</v>
      </c>
      <c r="E15" t="s">
        <v>37</v>
      </c>
      <c r="F15" t="s">
        <v>36</v>
      </c>
      <c r="G15">
        <v>4</v>
      </c>
    </row>
    <row r="17" spans="1:6" x14ac:dyDescent="0.25">
      <c r="A17" t="s">
        <v>38</v>
      </c>
    </row>
    <row r="18" spans="1:6" x14ac:dyDescent="0.25">
      <c r="A18" t="s">
        <v>40</v>
      </c>
    </row>
    <row r="19" spans="1:6" x14ac:dyDescent="0.25">
      <c r="A19" t="s">
        <v>41</v>
      </c>
      <c r="B19">
        <v>-120</v>
      </c>
      <c r="C19" t="s">
        <v>36</v>
      </c>
      <c r="D19" t="s">
        <v>42</v>
      </c>
      <c r="E19" t="s">
        <v>36</v>
      </c>
      <c r="F19">
        <v>30</v>
      </c>
    </row>
    <row r="21" spans="1:6" x14ac:dyDescent="0.25">
      <c r="A21" t="s">
        <v>43</v>
      </c>
    </row>
    <row r="22" spans="1:6" x14ac:dyDescent="0.25">
      <c r="A22" t="s">
        <v>44</v>
      </c>
    </row>
    <row r="23" spans="1:6" x14ac:dyDescent="0.25">
      <c r="A23" t="s">
        <v>45</v>
      </c>
    </row>
    <row r="24" spans="1:6" x14ac:dyDescent="0.25">
      <c r="A24" t="s">
        <v>46</v>
      </c>
    </row>
    <row r="26" spans="1:6" x14ac:dyDescent="0.25">
      <c r="A26" t="s">
        <v>47</v>
      </c>
    </row>
    <row r="27" spans="1:6" x14ac:dyDescent="0.25">
      <c r="A27" t="s">
        <v>48</v>
      </c>
      <c r="B27" t="s">
        <v>49</v>
      </c>
    </row>
    <row r="29" spans="1:6" x14ac:dyDescent="0.25">
      <c r="A29" t="s">
        <v>50</v>
      </c>
      <c r="B29" s="1" t="s">
        <v>51</v>
      </c>
    </row>
    <row r="30" spans="1:6" x14ac:dyDescent="0.25">
      <c r="B30" s="1" t="s">
        <v>52</v>
      </c>
    </row>
    <row r="31" spans="1:6" x14ac:dyDescent="0.25">
      <c r="B31" s="1" t="s">
        <v>53</v>
      </c>
    </row>
    <row r="32" spans="1:6" x14ac:dyDescent="0.25">
      <c r="B32" s="1" t="s">
        <v>54</v>
      </c>
    </row>
    <row r="33" spans="2:2" x14ac:dyDescent="0.25">
      <c r="B33" s="1" t="s">
        <v>55</v>
      </c>
    </row>
    <row r="34" spans="2:2" x14ac:dyDescent="0.25">
      <c r="B34" s="1" t="s">
        <v>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311B-3508-F54D-9155-318103B54128}">
  <dimension ref="A2:L62"/>
  <sheetViews>
    <sheetView topLeftCell="A31" workbookViewId="0">
      <selection activeCell="C62" sqref="C62"/>
    </sheetView>
  </sheetViews>
  <sheetFormatPr defaultColWidth="10.890625" defaultRowHeight="17.25" x14ac:dyDescent="0.25"/>
  <sheetData>
    <row r="2" spans="1:9" x14ac:dyDescent="0.25">
      <c r="A2" t="s">
        <v>1</v>
      </c>
      <c r="B2" t="s">
        <v>10</v>
      </c>
      <c r="C2" t="s">
        <v>13</v>
      </c>
      <c r="D2" t="s">
        <v>15</v>
      </c>
      <c r="E2" t="s">
        <v>17</v>
      </c>
      <c r="F2" t="s">
        <v>19</v>
      </c>
      <c r="G2" t="s">
        <v>21</v>
      </c>
      <c r="I2" t="s">
        <v>23</v>
      </c>
    </row>
    <row r="3" spans="1:9" x14ac:dyDescent="0.25">
      <c r="B3">
        <v>-3</v>
      </c>
      <c r="C3">
        <v>-8</v>
      </c>
      <c r="D3">
        <v>-2</v>
      </c>
      <c r="E3">
        <v>0</v>
      </c>
      <c r="F3">
        <v>0</v>
      </c>
      <c r="G3">
        <v>0</v>
      </c>
      <c r="H3" t="s">
        <v>25</v>
      </c>
      <c r="I3">
        <v>0</v>
      </c>
    </row>
    <row r="4" spans="1:9" x14ac:dyDescent="0.25">
      <c r="B4">
        <v>2</v>
      </c>
      <c r="C4">
        <v>1</v>
      </c>
      <c r="D4">
        <v>1</v>
      </c>
      <c r="E4">
        <v>1</v>
      </c>
      <c r="F4">
        <v>0</v>
      </c>
      <c r="G4">
        <v>0</v>
      </c>
      <c r="H4" t="s">
        <v>25</v>
      </c>
      <c r="I4">
        <v>40</v>
      </c>
    </row>
    <row r="5" spans="1:9" x14ac:dyDescent="0.25">
      <c r="B5">
        <v>3</v>
      </c>
      <c r="C5">
        <v>4</v>
      </c>
      <c r="D5">
        <v>1</v>
      </c>
      <c r="E5">
        <v>0</v>
      </c>
      <c r="F5">
        <v>1</v>
      </c>
      <c r="G5">
        <v>0</v>
      </c>
      <c r="H5" t="s">
        <v>25</v>
      </c>
      <c r="I5">
        <v>100</v>
      </c>
    </row>
    <row r="6" spans="1:9" x14ac:dyDescent="0.25">
      <c r="B6">
        <v>1</v>
      </c>
      <c r="C6">
        <v>-4</v>
      </c>
      <c r="D6">
        <v>4</v>
      </c>
      <c r="E6">
        <v>0</v>
      </c>
      <c r="F6">
        <v>0</v>
      </c>
      <c r="G6">
        <v>1</v>
      </c>
      <c r="H6" t="s">
        <v>25</v>
      </c>
      <c r="I6">
        <v>24</v>
      </c>
    </row>
    <row r="8" spans="1:9" x14ac:dyDescent="0.25">
      <c r="A8" t="s">
        <v>27</v>
      </c>
      <c r="B8">
        <f>B3-B$10*$C3</f>
        <v>3</v>
      </c>
      <c r="C8">
        <f>C3-C$10*$C3</f>
        <v>0</v>
      </c>
      <c r="D8">
        <f t="shared" ref="D8:G9" si="0">D3-D$10*$C3</f>
        <v>0</v>
      </c>
      <c r="E8">
        <f t="shared" si="0"/>
        <v>0</v>
      </c>
      <c r="F8">
        <f t="shared" si="0"/>
        <v>2</v>
      </c>
      <c r="G8">
        <f t="shared" si="0"/>
        <v>0</v>
      </c>
      <c r="H8" t="s">
        <v>25</v>
      </c>
      <c r="I8">
        <f>I3-I$10*$C3</f>
        <v>200</v>
      </c>
    </row>
    <row r="9" spans="1:9" x14ac:dyDescent="0.25">
      <c r="B9">
        <f>B4-B$10*$C4</f>
        <v>1.25</v>
      </c>
      <c r="C9">
        <f>C4-C$10*$C4</f>
        <v>0</v>
      </c>
      <c r="D9">
        <f t="shared" si="0"/>
        <v>0.75</v>
      </c>
      <c r="E9">
        <f t="shared" si="0"/>
        <v>1</v>
      </c>
      <c r="F9">
        <f t="shared" si="0"/>
        <v>-0.25</v>
      </c>
      <c r="G9">
        <f t="shared" si="0"/>
        <v>0</v>
      </c>
      <c r="H9" t="s">
        <v>25</v>
      </c>
      <c r="I9">
        <f>I4-I$10*$C4</f>
        <v>15</v>
      </c>
    </row>
    <row r="10" spans="1:9" x14ac:dyDescent="0.25">
      <c r="B10">
        <f t="shared" ref="B10:I10" si="1">B5/$C$5</f>
        <v>0.75</v>
      </c>
      <c r="C10">
        <f>C5/$C$5</f>
        <v>1</v>
      </c>
      <c r="D10">
        <f t="shared" si="1"/>
        <v>0.25</v>
      </c>
      <c r="E10">
        <f t="shared" si="1"/>
        <v>0</v>
      </c>
      <c r="F10">
        <f t="shared" si="1"/>
        <v>0.25</v>
      </c>
      <c r="G10">
        <f t="shared" si="1"/>
        <v>0</v>
      </c>
      <c r="H10" t="s">
        <v>25</v>
      </c>
      <c r="I10">
        <f t="shared" si="1"/>
        <v>25</v>
      </c>
    </row>
    <row r="11" spans="1:9" x14ac:dyDescent="0.25">
      <c r="B11">
        <f t="shared" ref="B11:H11" si="2">B6-B$10*$C6</f>
        <v>4</v>
      </c>
      <c r="C11">
        <f t="shared" si="2"/>
        <v>0</v>
      </c>
      <c r="D11">
        <f t="shared" si="2"/>
        <v>5</v>
      </c>
      <c r="E11">
        <f t="shared" si="2"/>
        <v>0</v>
      </c>
      <c r="F11">
        <f t="shared" si="2"/>
        <v>1</v>
      </c>
      <c r="G11">
        <f t="shared" si="2"/>
        <v>1</v>
      </c>
      <c r="H11" t="s">
        <v>25</v>
      </c>
      <c r="I11">
        <f t="shared" ref="I10:I11" si="3">I6-I$10*$C6</f>
        <v>124</v>
      </c>
    </row>
    <row r="13" spans="1:9" x14ac:dyDescent="0.25">
      <c r="A13" t="s">
        <v>48</v>
      </c>
    </row>
    <row r="14" spans="1:9" x14ac:dyDescent="0.25">
      <c r="B14" t="s">
        <v>57</v>
      </c>
      <c r="F14" t="s">
        <v>65</v>
      </c>
    </row>
    <row r="15" spans="1:9" x14ac:dyDescent="0.25">
      <c r="B15" t="s">
        <v>59</v>
      </c>
      <c r="F15" t="s">
        <v>66</v>
      </c>
    </row>
    <row r="16" spans="1:9" x14ac:dyDescent="0.25">
      <c r="B16" t="s">
        <v>58</v>
      </c>
      <c r="F16" t="s">
        <v>68</v>
      </c>
      <c r="H16" t="s">
        <v>70</v>
      </c>
    </row>
    <row r="17" spans="1:6" x14ac:dyDescent="0.25">
      <c r="F17" t="s">
        <v>69</v>
      </c>
    </row>
    <row r="18" spans="1:6" x14ac:dyDescent="0.25">
      <c r="A18" t="s">
        <v>60</v>
      </c>
      <c r="B18" t="s">
        <v>61</v>
      </c>
    </row>
    <row r="19" spans="1:6" x14ac:dyDescent="0.25">
      <c r="B19" t="s">
        <v>62</v>
      </c>
    </row>
    <row r="20" spans="1:6" x14ac:dyDescent="0.25">
      <c r="B20" t="s">
        <v>63</v>
      </c>
    </row>
    <row r="22" spans="1:6" x14ac:dyDescent="0.25">
      <c r="A22" t="s">
        <v>64</v>
      </c>
    </row>
    <row r="23" spans="1:6" x14ac:dyDescent="0.25">
      <c r="A23" t="s">
        <v>67</v>
      </c>
      <c r="B23" t="s">
        <v>71</v>
      </c>
    </row>
    <row r="24" spans="1:6" x14ac:dyDescent="0.25">
      <c r="B24" t="s">
        <v>72</v>
      </c>
      <c r="C24" t="s">
        <v>73</v>
      </c>
    </row>
    <row r="25" spans="1:6" x14ac:dyDescent="0.25">
      <c r="B25" t="s">
        <v>74</v>
      </c>
    </row>
    <row r="26" spans="1:6" x14ac:dyDescent="0.25">
      <c r="B26" t="s">
        <v>75</v>
      </c>
    </row>
    <row r="28" spans="1:6" x14ac:dyDescent="0.25">
      <c r="A28" t="s">
        <v>76</v>
      </c>
      <c r="B28" t="s">
        <v>84</v>
      </c>
    </row>
    <row r="29" spans="1:6" x14ac:dyDescent="0.25">
      <c r="B29" t="s">
        <v>82</v>
      </c>
    </row>
    <row r="30" spans="1:6" x14ac:dyDescent="0.25">
      <c r="B30" t="s">
        <v>83</v>
      </c>
    </row>
    <row r="31" spans="1:6" x14ac:dyDescent="0.25">
      <c r="B31" t="s">
        <v>85</v>
      </c>
    </row>
    <row r="32" spans="1:6" x14ac:dyDescent="0.25">
      <c r="B32" t="s">
        <v>86</v>
      </c>
    </row>
    <row r="33" spans="1:10" x14ac:dyDescent="0.25">
      <c r="B33" t="s">
        <v>87</v>
      </c>
    </row>
    <row r="34" spans="1:10" x14ac:dyDescent="0.25">
      <c r="A34" t="s">
        <v>88</v>
      </c>
      <c r="D34">
        <v>0</v>
      </c>
      <c r="E34" t="s">
        <v>36</v>
      </c>
      <c r="F34" t="s">
        <v>72</v>
      </c>
    </row>
    <row r="36" spans="1:10" x14ac:dyDescent="0.25">
      <c r="A36" t="s">
        <v>78</v>
      </c>
      <c r="B36" t="s">
        <v>79</v>
      </c>
    </row>
    <row r="37" spans="1:10" x14ac:dyDescent="0.25">
      <c r="B37" t="s">
        <v>72</v>
      </c>
      <c r="C37" t="s">
        <v>36</v>
      </c>
      <c r="D37">
        <v>0</v>
      </c>
    </row>
    <row r="38" spans="1:10" x14ac:dyDescent="0.25">
      <c r="B38" t="s">
        <v>77</v>
      </c>
      <c r="C38">
        <v>0</v>
      </c>
    </row>
    <row r="39" spans="1:10" x14ac:dyDescent="0.25">
      <c r="B39" t="s">
        <v>80</v>
      </c>
      <c r="C39" t="s">
        <v>81</v>
      </c>
    </row>
    <row r="41" spans="1:10" x14ac:dyDescent="0.25">
      <c r="A41" t="s">
        <v>89</v>
      </c>
      <c r="B41" t="s">
        <v>93</v>
      </c>
      <c r="C41" t="s">
        <v>90</v>
      </c>
    </row>
    <row r="42" spans="1:10" x14ac:dyDescent="0.25">
      <c r="C42">
        <v>-15</v>
      </c>
      <c r="D42" t="s">
        <v>36</v>
      </c>
      <c r="E42" t="s">
        <v>72</v>
      </c>
    </row>
    <row r="43" spans="1:10" x14ac:dyDescent="0.25">
      <c r="B43" t="s">
        <v>94</v>
      </c>
      <c r="C43" t="s">
        <v>91</v>
      </c>
    </row>
    <row r="44" spans="1:10" x14ac:dyDescent="0.25">
      <c r="C44">
        <v>-100</v>
      </c>
      <c r="D44" t="s">
        <v>36</v>
      </c>
      <c r="E44" t="s">
        <v>72</v>
      </c>
      <c r="F44" t="s">
        <v>36</v>
      </c>
      <c r="G44">
        <v>60</v>
      </c>
    </row>
    <row r="45" spans="1:10" x14ac:dyDescent="0.25">
      <c r="B45" t="s">
        <v>95</v>
      </c>
      <c r="C45" t="s">
        <v>92</v>
      </c>
    </row>
    <row r="46" spans="1:10" x14ac:dyDescent="0.25">
      <c r="C46">
        <v>-124</v>
      </c>
      <c r="D46" t="s">
        <v>36</v>
      </c>
      <c r="E46" t="s">
        <v>72</v>
      </c>
    </row>
    <row r="48" spans="1:10" x14ac:dyDescent="0.25">
      <c r="A48" t="s">
        <v>96</v>
      </c>
      <c r="B48" s="2" t="s">
        <v>0</v>
      </c>
      <c r="C48" s="2" t="s">
        <v>9</v>
      </c>
      <c r="D48" s="2" t="s">
        <v>12</v>
      </c>
      <c r="E48" s="2" t="s">
        <v>14</v>
      </c>
      <c r="F48" s="2" t="s">
        <v>16</v>
      </c>
      <c r="G48" s="2" t="s">
        <v>18</v>
      </c>
      <c r="H48" s="2" t="s">
        <v>20</v>
      </c>
      <c r="I48" s="2"/>
      <c r="J48" s="2" t="s">
        <v>22</v>
      </c>
    </row>
    <row r="49" spans="2:12" x14ac:dyDescent="0.25">
      <c r="B49" s="2"/>
      <c r="C49" s="7">
        <v>-3</v>
      </c>
      <c r="D49" s="8">
        <v>-8</v>
      </c>
      <c r="E49" s="8">
        <v>-2</v>
      </c>
      <c r="F49" s="8">
        <v>0</v>
      </c>
      <c r="G49" s="8">
        <v>0</v>
      </c>
      <c r="H49" s="8">
        <v>0</v>
      </c>
      <c r="I49" s="8" t="s">
        <v>24</v>
      </c>
      <c r="J49" s="9">
        <v>0</v>
      </c>
    </row>
    <row r="50" spans="2:12" x14ac:dyDescent="0.25">
      <c r="B50" s="2"/>
      <c r="C50" s="10">
        <v>2</v>
      </c>
      <c r="D50" s="11">
        <v>1</v>
      </c>
      <c r="E50" s="11">
        <v>1</v>
      </c>
      <c r="F50" s="11">
        <v>1</v>
      </c>
      <c r="G50" s="11">
        <v>0</v>
      </c>
      <c r="H50" s="11">
        <v>0</v>
      </c>
      <c r="I50" s="11" t="s">
        <v>24</v>
      </c>
      <c r="J50" s="12">
        <v>40</v>
      </c>
    </row>
    <row r="51" spans="2:12" x14ac:dyDescent="0.25">
      <c r="B51" s="2"/>
      <c r="C51" s="10">
        <v>3</v>
      </c>
      <c r="D51" s="11">
        <v>4</v>
      </c>
      <c r="E51" s="11">
        <v>1</v>
      </c>
      <c r="F51" s="11">
        <v>0</v>
      </c>
      <c r="G51" s="11">
        <v>1</v>
      </c>
      <c r="H51" s="11">
        <v>0</v>
      </c>
      <c r="I51" s="11" t="s">
        <v>24</v>
      </c>
      <c r="J51" s="12">
        <v>100</v>
      </c>
    </row>
    <row r="52" spans="2:12" x14ac:dyDescent="0.25">
      <c r="B52" s="2"/>
      <c r="C52" s="13">
        <v>1</v>
      </c>
      <c r="D52" s="14">
        <v>-4</v>
      </c>
      <c r="E52" s="14">
        <v>4</v>
      </c>
      <c r="F52" s="14">
        <v>0</v>
      </c>
      <c r="G52" s="14">
        <v>0</v>
      </c>
      <c r="H52" s="14">
        <v>1</v>
      </c>
      <c r="I52" s="14" t="s">
        <v>24</v>
      </c>
      <c r="J52" s="15">
        <v>24</v>
      </c>
    </row>
    <row r="53" spans="2:12" x14ac:dyDescent="0.25">
      <c r="B53" s="2"/>
      <c r="C53" s="2"/>
      <c r="D53" s="2"/>
      <c r="E53" s="2"/>
      <c r="F53" s="2"/>
      <c r="G53" s="2"/>
      <c r="H53" s="2"/>
      <c r="I53" s="2"/>
      <c r="J53" s="2"/>
    </row>
    <row r="54" spans="2:12" x14ac:dyDescent="0.25">
      <c r="B54" s="2" t="s">
        <v>26</v>
      </c>
      <c r="C54" s="7">
        <v>3</v>
      </c>
      <c r="D54" s="8">
        <v>0</v>
      </c>
      <c r="E54" s="8">
        <v>0</v>
      </c>
      <c r="F54" s="8">
        <v>0</v>
      </c>
      <c r="G54" s="8">
        <v>2</v>
      </c>
      <c r="H54" s="8">
        <v>0</v>
      </c>
      <c r="I54" s="8" t="s">
        <v>24</v>
      </c>
      <c r="J54" s="9">
        <v>200</v>
      </c>
    </row>
    <row r="55" spans="2:12" x14ac:dyDescent="0.25">
      <c r="B55" s="2"/>
      <c r="C55" s="10">
        <v>1.25</v>
      </c>
      <c r="D55" s="11">
        <v>0</v>
      </c>
      <c r="E55" s="11">
        <v>0.75</v>
      </c>
      <c r="F55" s="11">
        <v>1</v>
      </c>
      <c r="G55" s="11">
        <v>-0.25</v>
      </c>
      <c r="H55" s="11">
        <v>0</v>
      </c>
      <c r="I55" s="11" t="s">
        <v>24</v>
      </c>
      <c r="J55" s="12">
        <v>15</v>
      </c>
    </row>
    <row r="56" spans="2:12" x14ac:dyDescent="0.25">
      <c r="B56" s="2"/>
      <c r="C56" s="10">
        <v>0.75</v>
      </c>
      <c r="D56" s="11">
        <v>1</v>
      </c>
      <c r="E56" s="11">
        <v>0.25</v>
      </c>
      <c r="F56" s="11">
        <v>0</v>
      </c>
      <c r="G56" s="11">
        <v>0.25</v>
      </c>
      <c r="H56" s="11">
        <v>0</v>
      </c>
      <c r="I56" s="11" t="s">
        <v>24</v>
      </c>
      <c r="J56" s="12">
        <v>25</v>
      </c>
    </row>
    <row r="57" spans="2:12" x14ac:dyDescent="0.25">
      <c r="B57" s="2"/>
      <c r="C57" s="13">
        <v>4</v>
      </c>
      <c r="D57" s="14">
        <v>0</v>
      </c>
      <c r="E57" s="14">
        <v>5</v>
      </c>
      <c r="F57" s="14">
        <v>0</v>
      </c>
      <c r="G57" s="14">
        <v>1</v>
      </c>
      <c r="H57" s="14">
        <v>1</v>
      </c>
      <c r="I57" s="14" t="s">
        <v>24</v>
      </c>
      <c r="J57" s="15">
        <v>124</v>
      </c>
    </row>
    <row r="59" spans="2:12" x14ac:dyDescent="0.25">
      <c r="B59" t="s">
        <v>97</v>
      </c>
      <c r="C59" s="5" t="s">
        <v>10</v>
      </c>
      <c r="D59" s="5" t="s">
        <v>13</v>
      </c>
      <c r="E59" s="5" t="s">
        <v>15</v>
      </c>
      <c r="F59" s="27" t="s">
        <v>17</v>
      </c>
      <c r="G59" s="27" t="s">
        <v>19</v>
      </c>
      <c r="H59" s="27" t="s">
        <v>21</v>
      </c>
      <c r="I59" s="16" t="s">
        <v>98</v>
      </c>
      <c r="J59" s="17">
        <f>SUMPRODUCT(C54:H54,C60:H60)</f>
        <v>0</v>
      </c>
      <c r="K59" s="18" t="s">
        <v>36</v>
      </c>
      <c r="L59" s="9">
        <v>200</v>
      </c>
    </row>
    <row r="60" spans="2:12" x14ac:dyDescent="0.25"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J60" s="19">
        <f>SUMPRODUCT(C55:H55,C60:H60)</f>
        <v>0</v>
      </c>
      <c r="K60" s="3" t="s">
        <v>36</v>
      </c>
      <c r="L60" s="12">
        <v>15</v>
      </c>
    </row>
    <row r="61" spans="2:12" x14ac:dyDescent="0.25">
      <c r="J61" s="19">
        <f>SUMPRODUCT(C56:H56,C60:H60)</f>
        <v>0</v>
      </c>
      <c r="K61" s="3" t="s">
        <v>36</v>
      </c>
      <c r="L61" s="12">
        <v>25</v>
      </c>
    </row>
    <row r="62" spans="2:12" x14ac:dyDescent="0.25">
      <c r="B62" t="s">
        <v>27</v>
      </c>
      <c r="C62" s="21">
        <f>SUMPRODUCT(C54:H54,C60:H60)</f>
        <v>0</v>
      </c>
      <c r="D62" s="3"/>
      <c r="E62" s="3"/>
      <c r="F62" s="3"/>
      <c r="G62" s="3"/>
      <c r="H62" s="3"/>
      <c r="J62" s="20">
        <f>SUMPRODUCT(C57:H57,C60:H60)</f>
        <v>0</v>
      </c>
      <c r="K62" s="4" t="s">
        <v>36</v>
      </c>
      <c r="L62" s="15">
        <v>124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8E67-2C35-0541-9B5A-3CADB4C70859}">
  <dimension ref="A1:H22"/>
  <sheetViews>
    <sheetView showGridLines="0" topLeftCell="A14" workbookViewId="0">
      <selection sqref="A1:A3"/>
    </sheetView>
  </sheetViews>
  <sheetFormatPr defaultColWidth="10.890625" defaultRowHeight="17.25" x14ac:dyDescent="0.25"/>
  <cols>
    <col min="1" max="1" width="2.265625" customWidth="1"/>
    <col min="2" max="2" width="7.03515625" bestFit="1" customWidth="1"/>
    <col min="3" max="3" width="16.453125" bestFit="1" customWidth="1"/>
    <col min="4" max="5" width="5.10546875" bestFit="1" customWidth="1"/>
    <col min="6" max="8" width="9.19140625" bestFit="1" customWidth="1"/>
  </cols>
  <sheetData>
    <row r="1" spans="1:8" x14ac:dyDescent="0.25">
      <c r="A1" s="22" t="s">
        <v>99</v>
      </c>
    </row>
    <row r="2" spans="1:8" x14ac:dyDescent="0.25">
      <c r="A2" s="22" t="s">
        <v>100</v>
      </c>
    </row>
    <row r="3" spans="1:8" x14ac:dyDescent="0.25">
      <c r="A3" s="22" t="s">
        <v>129</v>
      </c>
    </row>
    <row r="6" spans="1:8" ht="18" thickBot="1" x14ac:dyDescent="0.3">
      <c r="A6" t="s">
        <v>101</v>
      </c>
    </row>
    <row r="7" spans="1:8" x14ac:dyDescent="0.25">
      <c r="B7" s="25"/>
      <c r="C7" s="25"/>
      <c r="D7" s="25" t="s">
        <v>104</v>
      </c>
      <c r="E7" s="25" t="s">
        <v>106</v>
      </c>
      <c r="F7" s="25" t="s">
        <v>108</v>
      </c>
      <c r="G7" s="25" t="s">
        <v>110</v>
      </c>
      <c r="H7" s="25" t="s">
        <v>110</v>
      </c>
    </row>
    <row r="8" spans="1:8" ht="18" thickBot="1" x14ac:dyDescent="0.3">
      <c r="B8" s="26" t="s">
        <v>102</v>
      </c>
      <c r="C8" s="26" t="s">
        <v>103</v>
      </c>
      <c r="D8" s="26" t="s">
        <v>105</v>
      </c>
      <c r="E8" s="26" t="s">
        <v>107</v>
      </c>
      <c r="F8" s="26" t="s">
        <v>109</v>
      </c>
      <c r="G8" s="26" t="s">
        <v>111</v>
      </c>
      <c r="H8" s="26" t="s">
        <v>112</v>
      </c>
    </row>
    <row r="9" spans="1:8" x14ac:dyDescent="0.25">
      <c r="B9" s="23" t="s">
        <v>117</v>
      </c>
      <c r="C9" s="23" t="s">
        <v>9</v>
      </c>
      <c r="D9" s="23">
        <v>0</v>
      </c>
      <c r="E9" s="23">
        <v>0</v>
      </c>
      <c r="F9" s="23">
        <v>0</v>
      </c>
      <c r="G9" s="23">
        <v>0</v>
      </c>
      <c r="H9" s="23">
        <v>1E+30</v>
      </c>
    </row>
    <row r="10" spans="1:8" x14ac:dyDescent="0.25">
      <c r="B10" s="23" t="s">
        <v>118</v>
      </c>
      <c r="C10" s="23" t="s">
        <v>12</v>
      </c>
      <c r="D10" s="23">
        <v>0</v>
      </c>
      <c r="E10" s="23">
        <v>0</v>
      </c>
      <c r="F10" s="23">
        <v>0</v>
      </c>
      <c r="G10" s="23">
        <v>0</v>
      </c>
      <c r="H10" s="23">
        <v>1E+30</v>
      </c>
    </row>
    <row r="11" spans="1:8" x14ac:dyDescent="0.25">
      <c r="B11" s="23" t="s">
        <v>119</v>
      </c>
      <c r="C11" s="23" t="s">
        <v>14</v>
      </c>
      <c r="D11" s="23">
        <v>0</v>
      </c>
      <c r="E11" s="23">
        <v>0</v>
      </c>
      <c r="F11" s="23">
        <v>0</v>
      </c>
      <c r="G11" s="23">
        <v>0</v>
      </c>
      <c r="H11" s="23">
        <v>1E+30</v>
      </c>
    </row>
    <row r="12" spans="1:8" x14ac:dyDescent="0.25">
      <c r="B12" s="23" t="s">
        <v>121</v>
      </c>
      <c r="C12" s="23" t="s">
        <v>16</v>
      </c>
      <c r="D12" s="23">
        <v>0</v>
      </c>
      <c r="E12" s="23">
        <v>0</v>
      </c>
      <c r="F12" s="23">
        <v>0</v>
      </c>
      <c r="G12" s="23">
        <v>0</v>
      </c>
      <c r="H12" s="23">
        <v>1E+30</v>
      </c>
    </row>
    <row r="13" spans="1:8" x14ac:dyDescent="0.25">
      <c r="B13" s="23" t="s">
        <v>120</v>
      </c>
      <c r="C13" s="23" t="s">
        <v>18</v>
      </c>
      <c r="D13" s="23">
        <v>0</v>
      </c>
      <c r="E13" s="23">
        <v>0</v>
      </c>
      <c r="F13" s="23">
        <v>0</v>
      </c>
      <c r="G13" s="23">
        <v>0</v>
      </c>
      <c r="H13" s="23">
        <v>1E+30</v>
      </c>
    </row>
    <row r="14" spans="1:8" ht="18" thickBot="1" x14ac:dyDescent="0.3">
      <c r="B14" s="24" t="s">
        <v>122</v>
      </c>
      <c r="C14" s="24" t="s">
        <v>20</v>
      </c>
      <c r="D14" s="24">
        <v>0</v>
      </c>
      <c r="E14" s="24">
        <v>0</v>
      </c>
      <c r="F14" s="24">
        <v>0</v>
      </c>
      <c r="G14" s="24">
        <v>0</v>
      </c>
      <c r="H14" s="24">
        <v>1E+30</v>
      </c>
    </row>
    <row r="16" spans="1:8" ht="18" thickBot="1" x14ac:dyDescent="0.3">
      <c r="A16" t="s">
        <v>113</v>
      </c>
    </row>
    <row r="17" spans="2:8" x14ac:dyDescent="0.25">
      <c r="B17" s="25"/>
      <c r="C17" s="25"/>
      <c r="D17" s="25" t="s">
        <v>104</v>
      </c>
      <c r="E17" s="25" t="s">
        <v>114</v>
      </c>
      <c r="F17" s="25" t="s">
        <v>113</v>
      </c>
      <c r="G17" s="25" t="s">
        <v>110</v>
      </c>
      <c r="H17" s="25" t="s">
        <v>110</v>
      </c>
    </row>
    <row r="18" spans="2:8" ht="18" thickBot="1" x14ac:dyDescent="0.3">
      <c r="B18" s="26" t="s">
        <v>102</v>
      </c>
      <c r="C18" s="26" t="s">
        <v>103</v>
      </c>
      <c r="D18" s="26" t="s">
        <v>105</v>
      </c>
      <c r="E18" s="26" t="s">
        <v>115</v>
      </c>
      <c r="F18" s="26" t="s">
        <v>116</v>
      </c>
      <c r="G18" s="26" t="s">
        <v>111</v>
      </c>
      <c r="H18" s="26" t="s">
        <v>112</v>
      </c>
    </row>
    <row r="19" spans="2:8" x14ac:dyDescent="0.25">
      <c r="B19" s="23" t="s">
        <v>123</v>
      </c>
      <c r="C19" s="23" t="s">
        <v>124</v>
      </c>
      <c r="D19" s="23">
        <v>0</v>
      </c>
      <c r="E19" s="23">
        <v>0</v>
      </c>
      <c r="F19" s="23">
        <v>200</v>
      </c>
      <c r="G19" s="23">
        <v>1E+30</v>
      </c>
      <c r="H19" s="23">
        <v>200</v>
      </c>
    </row>
    <row r="20" spans="2:8" x14ac:dyDescent="0.25">
      <c r="B20" s="23" t="s">
        <v>125</v>
      </c>
      <c r="C20" s="23" t="s">
        <v>22</v>
      </c>
      <c r="D20" s="23">
        <v>0</v>
      </c>
      <c r="E20" s="23">
        <v>0</v>
      </c>
      <c r="F20" s="23">
        <v>15</v>
      </c>
      <c r="G20" s="23">
        <v>1E+30</v>
      </c>
      <c r="H20" s="23">
        <v>15</v>
      </c>
    </row>
    <row r="21" spans="2:8" x14ac:dyDescent="0.25">
      <c r="B21" s="23" t="s">
        <v>126</v>
      </c>
      <c r="C21" s="23" t="s">
        <v>22</v>
      </c>
      <c r="D21" s="23">
        <v>0</v>
      </c>
      <c r="E21" s="23">
        <v>0</v>
      </c>
      <c r="F21" s="23">
        <v>25</v>
      </c>
      <c r="G21" s="23">
        <v>1E+30</v>
      </c>
      <c r="H21" s="23">
        <v>25</v>
      </c>
    </row>
    <row r="22" spans="2:8" ht="18" thickBot="1" x14ac:dyDescent="0.3">
      <c r="B22" s="24" t="s">
        <v>127</v>
      </c>
      <c r="C22" s="24" t="s">
        <v>128</v>
      </c>
      <c r="D22" s="24">
        <v>0</v>
      </c>
      <c r="E22" s="24">
        <v>0</v>
      </c>
      <c r="F22" s="24">
        <v>124</v>
      </c>
      <c r="G22" s="24">
        <v>1E+30</v>
      </c>
      <c r="H22" s="24">
        <v>124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실습과제9 민감도이론분석</vt:lpstr>
      <vt:lpstr>연습문제 19</vt:lpstr>
      <vt:lpstr>민감도 보고서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2020-05-19T02:43:40Z</dcterms:created>
  <dcterms:modified xsi:type="dcterms:W3CDTF">2020-05-19T16:54:16Z</dcterms:modified>
</cp:coreProperties>
</file>