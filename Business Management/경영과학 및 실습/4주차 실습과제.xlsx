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ngjnwoo/Google 드라이브/1.실행/대학생활/2학년 1학기/ㄴ 경영과학1 및 실습/"/>
    </mc:Choice>
  </mc:AlternateContent>
  <xr:revisionPtr revIDLastSave="0" documentId="8_{3991B16D-A232-5647-A793-BC96C58983CB}" xr6:coauthVersionLast="45" xr6:coauthVersionMax="45" xr10:uidLastSave="{00000000-0000-0000-0000-000000000000}"/>
  <bookViews>
    <workbookView xWindow="240" yWindow="460" windowWidth="25540" windowHeight="17040" xr2:uid="{11F5A01B-FD2A-CC4D-94FA-09C8E508A36E}"/>
  </bookViews>
  <sheets>
    <sheet name="&lt;실습과제1&gt;" sheetId="1" r:id="rId1"/>
    <sheet name="&lt;실습과제 2&gt;" sheetId="2" r:id="rId2"/>
  </sheets>
  <definedNames>
    <definedName name="요일별_근무자_합계">'&lt;실습과제 2&gt;'!$B$13:$H$13</definedName>
    <definedName name="요일별_시작_직원수">'&lt;실습과제1&gt;'!$I$5:$I$11</definedName>
    <definedName name="요일별_시작_택배원수">'&lt;실습과제 2&gt;'!$I$5:$I$11</definedName>
    <definedName name="요일별_최소_직원수">'&lt;실습과제1&gt;'!$B$15:$H$15</definedName>
    <definedName name="요일별_최소_택배원수">'&lt;실습과제 2&gt;'!$B$15:$H$15</definedName>
    <definedName name="요일별_합계">'&lt;실습과제1&gt;'!$B$13:$H$13</definedName>
    <definedName name="solver_adj" localSheetId="1" hidden="1">'&lt;실습과제 2&gt;'!$I$5:$I$11</definedName>
    <definedName name="solver_adj" localSheetId="0" hidden="1">'&lt;실습과제1&gt;'!$I$5:$I$11</definedName>
    <definedName name="solver_cvg" localSheetId="1" hidden="1">0.0001</definedName>
    <definedName name="solver_cvg" localSheetId="0" hidden="1">0.0001</definedName>
    <definedName name="solver_drv" localSheetId="1" hidden="1">1</definedName>
    <definedName name="solver_drv" localSheetId="0" hidden="1">1</definedName>
    <definedName name="solver_eng" localSheetId="1" hidden="1">2</definedName>
    <definedName name="solver_eng" localSheetId="0" hidden="1">2</definedName>
    <definedName name="solver_itr" localSheetId="1" hidden="1">2147483647</definedName>
    <definedName name="solver_itr" localSheetId="0" hidden="1">2147483647</definedName>
    <definedName name="solver_lhs1" localSheetId="1" hidden="1">'&lt;실습과제 2&gt;'!$B$13:$H$13</definedName>
    <definedName name="solver_lhs1" localSheetId="0" hidden="1">'&lt;실습과제1&gt;'!$B$13:$H$13</definedName>
    <definedName name="solver_lhs2" localSheetId="1" hidden="1">'&lt;실습과제 2&gt;'!$I$5:$I$11</definedName>
    <definedName name="solver_lin" localSheetId="1" hidden="1">1</definedName>
    <definedName name="solver_lin" localSheetId="0" hidden="1">1</definedName>
    <definedName name="solver_mip" localSheetId="1" hidden="1">2147483647</definedName>
    <definedName name="solver_mip" localSheetId="0" hidden="1">2147483647</definedName>
    <definedName name="solver_mni" localSheetId="1" hidden="1">30</definedName>
    <definedName name="solver_mni" localSheetId="0" hidden="1">30</definedName>
    <definedName name="solver_mrt" localSheetId="1" hidden="1">0.075</definedName>
    <definedName name="solver_mrt" localSheetId="0" hidden="1">0.075</definedName>
    <definedName name="solver_msl" localSheetId="1" hidden="1">2</definedName>
    <definedName name="solver_msl" localSheetId="0" hidden="1">2</definedName>
    <definedName name="solver_neg" localSheetId="1" hidden="1">1</definedName>
    <definedName name="solver_neg" localSheetId="0" hidden="1">1</definedName>
    <definedName name="solver_nod" localSheetId="1" hidden="1">2147483647</definedName>
    <definedName name="solver_nod" localSheetId="0" hidden="1">2147483647</definedName>
    <definedName name="solver_num" localSheetId="1" hidden="1">1</definedName>
    <definedName name="solver_num" localSheetId="0" hidden="1">1</definedName>
    <definedName name="solver_opt" localSheetId="1" hidden="1">'&lt;실습과제 2&gt;'!$B$17</definedName>
    <definedName name="solver_opt" localSheetId="0" hidden="1">'&lt;실습과제1&gt;'!$B$17</definedName>
    <definedName name="solver_pre" localSheetId="1" hidden="1">0.000001</definedName>
    <definedName name="solver_pre" localSheetId="0" hidden="1">0.000001</definedName>
    <definedName name="solver_rbv" localSheetId="1" hidden="1">1</definedName>
    <definedName name="solver_rbv" localSheetId="0" hidden="1">1</definedName>
    <definedName name="solver_rel1" localSheetId="1" hidden="1">3</definedName>
    <definedName name="solver_rel1" localSheetId="0" hidden="1">3</definedName>
    <definedName name="solver_rel2" localSheetId="1" hidden="1">4</definedName>
    <definedName name="solver_rhs1" localSheetId="1" hidden="1">요일별_최소_택배원수</definedName>
    <definedName name="solver_rhs1" localSheetId="0" hidden="1">요일별_최소_직원수</definedName>
    <definedName name="solver_rhs2" localSheetId="1" hidden="1">정수</definedName>
    <definedName name="solver_rlx" localSheetId="1" hidden="1">1</definedName>
    <definedName name="solver_rlx" localSheetId="0" hidden="1">2</definedName>
    <definedName name="solver_rsd" localSheetId="1" hidden="1">0</definedName>
    <definedName name="solver_rsd" localSheetId="0" hidden="1">0</definedName>
    <definedName name="solver_scl" localSheetId="1" hidden="1">2</definedName>
    <definedName name="solver_scl" localSheetId="0" hidden="1">1</definedName>
    <definedName name="solver_sho" localSheetId="1" hidden="1">2</definedName>
    <definedName name="solver_sho" localSheetId="0" hidden="1">2</definedName>
    <definedName name="solver_ssz" localSheetId="1" hidden="1">100</definedName>
    <definedName name="solver_ssz" localSheetId="0" hidden="1">100</definedName>
    <definedName name="solver_tim" localSheetId="1" hidden="1">2147483647</definedName>
    <definedName name="solver_tim" localSheetId="0" hidden="1">2147483647</definedName>
    <definedName name="solver_tol" localSheetId="1" hidden="1">0.01</definedName>
    <definedName name="solver_tol" localSheetId="0" hidden="1">0.01</definedName>
    <definedName name="solver_typ" localSheetId="1" hidden="1">2</definedName>
    <definedName name="solver_typ" localSheetId="0" hidden="1">2</definedName>
    <definedName name="solver_val" localSheetId="1" hidden="1">0</definedName>
    <definedName name="solver_val" localSheetId="0" hidden="1">0</definedName>
    <definedName name="solver_ver" localSheetId="1" hidden="1">2</definedName>
    <definedName name="solver_ver" localSheetId="0" hidden="1">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41" i="2" l="1"/>
  <c r="B39" i="2"/>
  <c r="H35" i="2"/>
  <c r="G35" i="2"/>
  <c r="F35" i="2"/>
  <c r="E35" i="2"/>
  <c r="D35" i="2"/>
  <c r="C35" i="2"/>
  <c r="B35" i="2"/>
  <c r="B19" i="2"/>
  <c r="B17" i="2"/>
  <c r="C13" i="2"/>
  <c r="D13" i="2"/>
  <c r="E13" i="2"/>
  <c r="F13" i="2"/>
  <c r="G13" i="2"/>
  <c r="H13" i="2"/>
  <c r="B13" i="2"/>
  <c r="B17" i="1"/>
  <c r="C13" i="1"/>
  <c r="D13" i="1"/>
  <c r="E13" i="1"/>
  <c r="F13" i="1"/>
  <c r="G13" i="1"/>
  <c r="H13" i="1"/>
  <c r="B13" i="1"/>
</calcChain>
</file>

<file path=xl/sharedStrings.xml><?xml version="1.0" encoding="utf-8"?>
<sst xmlns="http://schemas.openxmlformats.org/spreadsheetml/2006/main" count="114" uniqueCount="58">
  <si>
    <t>(계 속 근 무)</t>
  </si>
  <si>
    <t>월</t>
  </si>
  <si>
    <t>화</t>
  </si>
  <si>
    <t>수</t>
  </si>
  <si>
    <t>목</t>
  </si>
  <si>
    <t>금</t>
  </si>
  <si>
    <t>토</t>
  </si>
  <si>
    <t>일</t>
  </si>
  <si>
    <t>&gt;=</t>
  </si>
  <si>
    <t>A항공사의 정비인원 배치계획</t>
    <phoneticPr fontId="2" type="noConversion"/>
  </si>
  <si>
    <t>근무행렬</t>
    <phoneticPr fontId="2" type="noConversion"/>
  </si>
  <si>
    <t>(시작요일)월</t>
    <phoneticPr fontId="2" type="noConversion"/>
  </si>
  <si>
    <t>화</t>
    <phoneticPr fontId="2" type="noConversion"/>
  </si>
  <si>
    <t>수</t>
    <phoneticPr fontId="2" type="noConversion"/>
  </si>
  <si>
    <t>목</t>
    <phoneticPr fontId="2" type="noConversion"/>
  </si>
  <si>
    <t>금</t>
    <phoneticPr fontId="2" type="noConversion"/>
  </si>
  <si>
    <t>토</t>
    <phoneticPr fontId="2" type="noConversion"/>
  </si>
  <si>
    <t>일</t>
    <phoneticPr fontId="2" type="noConversion"/>
  </si>
  <si>
    <t>요일별 합계</t>
    <phoneticPr fontId="2" type="noConversion"/>
  </si>
  <si>
    <t>전체 직원수</t>
    <phoneticPr fontId="2" type="noConversion"/>
  </si>
  <si>
    <r>
      <rPr>
        <sz val="12"/>
        <color theme="1"/>
        <rFont val="맑은 고딕"/>
        <family val="2"/>
        <charset val="129"/>
      </rPr>
      <t>요일별</t>
    </r>
    <r>
      <rPr>
        <sz val="12"/>
        <color theme="1"/>
        <rFont val="Helvetica"/>
        <family val="2"/>
      </rPr>
      <t xml:space="preserve"> </t>
    </r>
    <r>
      <rPr>
        <sz val="12"/>
        <color theme="1"/>
        <rFont val="맑은 고딕"/>
        <family val="2"/>
        <charset val="129"/>
      </rPr>
      <t>시작</t>
    </r>
    <r>
      <rPr>
        <sz val="12"/>
        <color theme="1"/>
        <rFont val="Helvetica"/>
        <family val="2"/>
      </rPr>
      <t xml:space="preserve"> </t>
    </r>
    <r>
      <rPr>
        <sz val="12"/>
        <color theme="1"/>
        <rFont val="맑은 고딕"/>
        <family val="2"/>
        <charset val="129"/>
      </rPr>
      <t>직원수</t>
    </r>
    <phoneticPr fontId="2" type="noConversion"/>
  </si>
  <si>
    <t>요일별 최소 직원수</t>
    <phoneticPr fontId="2" type="noConversion"/>
  </si>
  <si>
    <t>1.&lt;가능해&gt;</t>
    <phoneticPr fontId="2" type="noConversion"/>
  </si>
  <si>
    <t>2.&lt;수리모형&gt;</t>
    <phoneticPr fontId="2" type="noConversion"/>
  </si>
  <si>
    <t>(1)의사결정변수</t>
    <phoneticPr fontId="2" type="noConversion"/>
  </si>
  <si>
    <t>j번째 요일에 근무를 시작하는 직원수를 xj로 나타낸다</t>
    <phoneticPr fontId="2" type="noConversion"/>
  </si>
  <si>
    <t>(2)총 정비기술자 수</t>
    <phoneticPr fontId="2" type="noConversion"/>
  </si>
  <si>
    <t>Z=x1+x2+x3+x4+x5+x6+x7</t>
  </si>
  <si>
    <t>(3)각 요일별로 필요한 정비기술자의 수</t>
    <phoneticPr fontId="2" type="noConversion"/>
  </si>
  <si>
    <t>x1+x4+x5+x6+x7&gt;=19</t>
    <phoneticPr fontId="2" type="noConversion"/>
  </si>
  <si>
    <t>x1+x2+x5+x6+x7&gt;=17</t>
    <phoneticPr fontId="2" type="noConversion"/>
  </si>
  <si>
    <t>x1+x2+x3+x6+x7&gt;=15</t>
    <phoneticPr fontId="2" type="noConversion"/>
  </si>
  <si>
    <t>x1+x2+x3+x4+x7&gt;=16</t>
    <phoneticPr fontId="2" type="noConversion"/>
  </si>
  <si>
    <t>x1+x2+x3+x4+x5&gt;=18</t>
    <phoneticPr fontId="2" type="noConversion"/>
  </si>
  <si>
    <t>x2+x3+x4+x5+x6&gt;=20</t>
    <phoneticPr fontId="2" type="noConversion"/>
  </si>
  <si>
    <t>x3+x4+x5+x6+x7&gt;=25</t>
    <phoneticPr fontId="2" type="noConversion"/>
  </si>
  <si>
    <t>x1,x2,x3,x4,x5,x6,x7&gt;=0</t>
    <phoneticPr fontId="2" type="noConversion"/>
  </si>
  <si>
    <t>3.&lt;스프레드시트 모형&gt;</t>
    <phoneticPr fontId="2" type="noConversion"/>
  </si>
  <si>
    <t>위의 모형</t>
    <phoneticPr fontId="2" type="noConversion"/>
  </si>
  <si>
    <t>4.&lt;해찾기 적용&gt;</t>
    <phoneticPr fontId="2" type="noConversion"/>
  </si>
  <si>
    <t>(1) 최적 고용계획 위의모형</t>
    <phoneticPr fontId="2" type="noConversion"/>
  </si>
  <si>
    <t>(2) 요일별 합계&gt;=요일별 최소 직원수</t>
    <phoneticPr fontId="2" type="noConversion"/>
  </si>
  <si>
    <t>5.&lt;응용&gt;</t>
    <phoneticPr fontId="2" type="noConversion"/>
  </si>
  <si>
    <t>G7~H10부분의 1을 0으로 바꿈</t>
    <phoneticPr fontId="2" type="noConversion"/>
  </si>
  <si>
    <t>6.&lt;공평한 근무일정&gt;</t>
    <phoneticPr fontId="2" type="noConversion"/>
  </si>
  <si>
    <t>직원을 한명 더 채용하여 근무한다,27주를 주기로 근무시작요일을 변경한다</t>
    <phoneticPr fontId="2" type="noConversion"/>
  </si>
  <si>
    <t>A택배사의 근무인원 배치계획</t>
    <phoneticPr fontId="2" type="noConversion"/>
  </si>
  <si>
    <t>월</t>
    <phoneticPr fontId="2" type="noConversion"/>
  </si>
  <si>
    <t>(계 속 근 무)</t>
    <phoneticPr fontId="2" type="noConversion"/>
  </si>
  <si>
    <t>요일별 시작 택배원수</t>
    <phoneticPr fontId="2" type="noConversion"/>
  </si>
  <si>
    <t>요일별 근무자 합계</t>
    <phoneticPr fontId="2" type="noConversion"/>
  </si>
  <si>
    <t>요일별 최소 택배원수</t>
    <phoneticPr fontId="2" type="noConversion"/>
  </si>
  <si>
    <t>전체 택배원수</t>
    <phoneticPr fontId="2" type="noConversion"/>
  </si>
  <si>
    <t>&gt;=</t>
    <phoneticPr fontId="2" type="noConversion"/>
  </si>
  <si>
    <t>요일별 급료(만원)</t>
    <phoneticPr fontId="2" type="noConversion"/>
  </si>
  <si>
    <t>전체 택배원 급료</t>
    <phoneticPr fontId="2" type="noConversion"/>
  </si>
  <si>
    <t>&lt;해찾기 적용&gt;</t>
    <phoneticPr fontId="2" type="noConversion"/>
  </si>
  <si>
    <t>아래의 표는 정수적용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</si>
</sst>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맑은 고딕"/>
      <family val="2"/>
      <charset val="129"/>
      <scheme val="minor"/>
    </font>
    <font>
      <sz val="12"/>
      <color theme="1"/>
      <name val="Helvetica"/>
      <family val="2"/>
    </font>
    <font>
      <sz val="8"/>
      <name val="맑은 고딕"/>
      <family val="2"/>
      <charset val="129"/>
      <scheme val="minor"/>
    </font>
    <font>
      <sz val="12"/>
      <color theme="1"/>
      <name val="맑은 고딕"/>
      <family val="2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714CD-1E14-C940-B9CD-498F85EF52C6}">
  <dimension ref="A1:I38"/>
  <sheetViews>
    <sheetView tabSelected="1" workbookViewId="0">
      <selection activeCell="B17" sqref="B17"/>
    </sheetView>
  </sheetViews>
  <sheetFormatPr defaultColWidth="10.890625" defaultRowHeight="17.25" x14ac:dyDescent="0.25"/>
  <cols>
    <col min="1" max="1" width="21.33203125" customWidth="1"/>
  </cols>
  <sheetData>
    <row r="1" spans="1:9" x14ac:dyDescent="0.25">
      <c r="A1" t="s">
        <v>9</v>
      </c>
    </row>
    <row r="3" spans="1:9" x14ac:dyDescent="0.25">
      <c r="B3" s="1"/>
      <c r="C3" s="1"/>
      <c r="D3" s="1" t="s">
        <v>0</v>
      </c>
      <c r="E3" s="1"/>
      <c r="F3" s="1"/>
      <c r="G3" s="1"/>
      <c r="H3" s="1"/>
    </row>
    <row r="4" spans="1:9" x14ac:dyDescent="0.25">
      <c r="A4" t="s">
        <v>10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20</v>
      </c>
    </row>
    <row r="5" spans="1:9" x14ac:dyDescent="0.25">
      <c r="A5" t="s">
        <v>11</v>
      </c>
      <c r="B5" s="1">
        <v>1</v>
      </c>
      <c r="C5" s="1">
        <v>1</v>
      </c>
      <c r="D5" s="1">
        <v>1</v>
      </c>
      <c r="E5" s="1">
        <v>1</v>
      </c>
      <c r="F5" s="1">
        <v>1</v>
      </c>
      <c r="G5" s="1">
        <v>0</v>
      </c>
      <c r="H5" s="1">
        <v>0</v>
      </c>
      <c r="I5">
        <v>0</v>
      </c>
    </row>
    <row r="6" spans="1:9" x14ac:dyDescent="0.25">
      <c r="A6" t="s">
        <v>12</v>
      </c>
      <c r="B6" s="1">
        <v>0</v>
      </c>
      <c r="C6" s="1">
        <v>1</v>
      </c>
      <c r="D6" s="1">
        <v>1</v>
      </c>
      <c r="E6" s="1">
        <v>1</v>
      </c>
      <c r="F6" s="1">
        <v>1</v>
      </c>
      <c r="G6" s="1">
        <v>1</v>
      </c>
      <c r="H6" s="1">
        <v>0</v>
      </c>
      <c r="I6">
        <v>1</v>
      </c>
    </row>
    <row r="7" spans="1:9" x14ac:dyDescent="0.25">
      <c r="A7" t="s">
        <v>13</v>
      </c>
      <c r="B7" s="1">
        <v>0</v>
      </c>
      <c r="C7" s="1">
        <v>0</v>
      </c>
      <c r="D7" s="1">
        <v>1</v>
      </c>
      <c r="E7" s="1">
        <v>1</v>
      </c>
      <c r="F7" s="1">
        <v>1</v>
      </c>
      <c r="G7" s="1">
        <v>1</v>
      </c>
      <c r="H7" s="1">
        <v>1</v>
      </c>
      <c r="I7">
        <v>6</v>
      </c>
    </row>
    <row r="8" spans="1:9" x14ac:dyDescent="0.25">
      <c r="A8" t="s">
        <v>14</v>
      </c>
      <c r="B8" s="1">
        <v>1</v>
      </c>
      <c r="C8" s="1">
        <v>0</v>
      </c>
      <c r="D8" s="1">
        <v>0</v>
      </c>
      <c r="E8" s="1">
        <v>1</v>
      </c>
      <c r="F8" s="1">
        <v>1</v>
      </c>
      <c r="G8" s="1">
        <v>1</v>
      </c>
      <c r="H8" s="1">
        <v>1</v>
      </c>
      <c r="I8">
        <v>3</v>
      </c>
    </row>
    <row r="9" spans="1:9" x14ac:dyDescent="0.25">
      <c r="A9" t="s">
        <v>15</v>
      </c>
      <c r="B9" s="1">
        <v>1</v>
      </c>
      <c r="C9" s="1">
        <v>1</v>
      </c>
      <c r="D9" s="1">
        <v>0</v>
      </c>
      <c r="E9" s="1">
        <v>0</v>
      </c>
      <c r="F9" s="1">
        <v>1</v>
      </c>
      <c r="G9" s="1">
        <v>1</v>
      </c>
      <c r="H9" s="1">
        <v>1</v>
      </c>
      <c r="I9">
        <v>8</v>
      </c>
    </row>
    <row r="10" spans="1:9" x14ac:dyDescent="0.25">
      <c r="A10" t="s">
        <v>16</v>
      </c>
      <c r="B10" s="1">
        <v>1</v>
      </c>
      <c r="C10" s="1">
        <v>1</v>
      </c>
      <c r="D10" s="1">
        <v>1</v>
      </c>
      <c r="E10" s="1">
        <v>0</v>
      </c>
      <c r="F10" s="1">
        <v>0</v>
      </c>
      <c r="G10" s="1">
        <v>1</v>
      </c>
      <c r="H10" s="1">
        <v>1</v>
      </c>
      <c r="I10">
        <v>2</v>
      </c>
    </row>
    <row r="11" spans="1:9" x14ac:dyDescent="0.25">
      <c r="A11" t="s">
        <v>17</v>
      </c>
      <c r="B11" s="1">
        <v>1</v>
      </c>
      <c r="C11" s="1">
        <v>1</v>
      </c>
      <c r="D11" s="1">
        <v>1</v>
      </c>
      <c r="E11" s="1">
        <v>1</v>
      </c>
      <c r="F11" s="1">
        <v>0</v>
      </c>
      <c r="G11" s="1">
        <v>0</v>
      </c>
      <c r="H11" s="1">
        <v>1</v>
      </c>
      <c r="I11">
        <v>6</v>
      </c>
    </row>
    <row r="12" spans="1:9" x14ac:dyDescent="0.25">
      <c r="B12" s="1"/>
      <c r="C12" s="1"/>
      <c r="D12" s="1"/>
      <c r="E12" s="1"/>
      <c r="F12" s="1"/>
      <c r="G12" s="1"/>
      <c r="H12" s="1"/>
    </row>
    <row r="13" spans="1:9" x14ac:dyDescent="0.25">
      <c r="A13" t="s">
        <v>18</v>
      </c>
      <c r="B13" s="1">
        <f>SUMPRODUCT($I$5:$I$11,B5:B11)</f>
        <v>19</v>
      </c>
      <c r="C13" s="1">
        <f t="shared" ref="C13:H13" si="0">SUMPRODUCT($I$5:$I$11,C5:C11)</f>
        <v>17</v>
      </c>
      <c r="D13" s="1">
        <f t="shared" si="0"/>
        <v>15</v>
      </c>
      <c r="E13" s="1">
        <f t="shared" si="0"/>
        <v>16</v>
      </c>
      <c r="F13" s="1">
        <f t="shared" si="0"/>
        <v>18</v>
      </c>
      <c r="G13" s="1">
        <f t="shared" si="0"/>
        <v>20</v>
      </c>
      <c r="H13" s="1">
        <f t="shared" si="0"/>
        <v>25</v>
      </c>
    </row>
    <row r="14" spans="1:9" x14ac:dyDescent="0.25">
      <c r="B14" s="1" t="s">
        <v>8</v>
      </c>
      <c r="C14" s="1" t="s">
        <v>8</v>
      </c>
      <c r="D14" s="1" t="s">
        <v>8</v>
      </c>
      <c r="E14" s="1" t="s">
        <v>8</v>
      </c>
      <c r="F14" s="1" t="s">
        <v>8</v>
      </c>
      <c r="G14" s="1" t="s">
        <v>8</v>
      </c>
      <c r="H14" s="1" t="s">
        <v>8</v>
      </c>
    </row>
    <row r="15" spans="1:9" x14ac:dyDescent="0.25">
      <c r="A15" t="s">
        <v>21</v>
      </c>
      <c r="B15" s="1">
        <v>19</v>
      </c>
      <c r="C15" s="1">
        <v>17</v>
      </c>
      <c r="D15" s="1">
        <v>15</v>
      </c>
      <c r="E15" s="1">
        <v>16</v>
      </c>
      <c r="F15" s="1">
        <v>18</v>
      </c>
      <c r="G15" s="1">
        <v>20</v>
      </c>
      <c r="H15" s="1">
        <v>25</v>
      </c>
    </row>
    <row r="17" spans="1:5" x14ac:dyDescent="0.25">
      <c r="A17" t="s">
        <v>19</v>
      </c>
      <c r="B17">
        <f>SUM(요일별_시작_직원수)</f>
        <v>26</v>
      </c>
    </row>
    <row r="20" spans="1:5" x14ac:dyDescent="0.25">
      <c r="A20" t="s">
        <v>22</v>
      </c>
      <c r="B20">
        <v>26</v>
      </c>
    </row>
    <row r="21" spans="1:5" x14ac:dyDescent="0.25">
      <c r="A21" t="s">
        <v>23</v>
      </c>
      <c r="B21" t="s">
        <v>24</v>
      </c>
      <c r="C21" t="s">
        <v>25</v>
      </c>
    </row>
    <row r="22" spans="1:5" x14ac:dyDescent="0.25">
      <c r="B22" t="s">
        <v>26</v>
      </c>
      <c r="D22" t="s">
        <v>27</v>
      </c>
    </row>
    <row r="23" spans="1:5" x14ac:dyDescent="0.25">
      <c r="B23" t="s">
        <v>28</v>
      </c>
      <c r="E23" t="s">
        <v>29</v>
      </c>
    </row>
    <row r="24" spans="1:5" x14ac:dyDescent="0.25">
      <c r="E24" t="s">
        <v>30</v>
      </c>
    </row>
    <row r="25" spans="1:5" x14ac:dyDescent="0.25">
      <c r="E25" t="s">
        <v>31</v>
      </c>
    </row>
    <row r="26" spans="1:5" x14ac:dyDescent="0.25">
      <c r="E26" t="s">
        <v>32</v>
      </c>
    </row>
    <row r="27" spans="1:5" x14ac:dyDescent="0.25">
      <c r="E27" t="s">
        <v>33</v>
      </c>
    </row>
    <row r="28" spans="1:5" x14ac:dyDescent="0.25">
      <c r="E28" t="s">
        <v>34</v>
      </c>
    </row>
    <row r="29" spans="1:5" x14ac:dyDescent="0.25">
      <c r="E29" t="s">
        <v>35</v>
      </c>
    </row>
    <row r="30" spans="1:5" x14ac:dyDescent="0.25">
      <c r="E30" t="s">
        <v>36</v>
      </c>
    </row>
    <row r="32" spans="1:5" x14ac:dyDescent="0.25">
      <c r="A32" t="s">
        <v>37</v>
      </c>
      <c r="B32" t="s">
        <v>38</v>
      </c>
    </row>
    <row r="34" spans="1:2" x14ac:dyDescent="0.25">
      <c r="A34" t="s">
        <v>39</v>
      </c>
      <c r="B34" t="s">
        <v>40</v>
      </c>
    </row>
    <row r="35" spans="1:2" x14ac:dyDescent="0.25">
      <c r="B35" t="s">
        <v>41</v>
      </c>
    </row>
    <row r="37" spans="1:2" x14ac:dyDescent="0.25">
      <c r="A37" t="s">
        <v>42</v>
      </c>
      <c r="B37" t="s">
        <v>43</v>
      </c>
    </row>
    <row r="38" spans="1:2" x14ac:dyDescent="0.25">
      <c r="A38" t="s">
        <v>44</v>
      </c>
      <c r="B38" t="s">
        <v>45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D3464F-8BD6-F14C-8D0D-CF0847A2DBAF}">
  <dimension ref="A1:J41"/>
  <sheetViews>
    <sheetView workbookViewId="0">
      <selection activeCell="B22" sqref="B22"/>
    </sheetView>
  </sheetViews>
  <sheetFormatPr defaultColWidth="10.890625" defaultRowHeight="17.25" x14ac:dyDescent="0.25"/>
  <cols>
    <col min="1" max="1" width="21.671875" customWidth="1"/>
    <col min="9" max="9" width="20.9921875" customWidth="1"/>
    <col min="12" max="12" width="10.6640625" customWidth="1"/>
  </cols>
  <sheetData>
    <row r="1" spans="1:10" x14ac:dyDescent="0.25">
      <c r="A1" t="s">
        <v>46</v>
      </c>
    </row>
    <row r="3" spans="1:10" x14ac:dyDescent="0.25">
      <c r="D3" t="s">
        <v>48</v>
      </c>
    </row>
    <row r="4" spans="1:10" x14ac:dyDescent="0.25">
      <c r="A4" t="s">
        <v>10</v>
      </c>
      <c r="B4" t="s">
        <v>47</v>
      </c>
      <c r="C4" t="s">
        <v>12</v>
      </c>
      <c r="D4" t="s">
        <v>13</v>
      </c>
      <c r="E4" t="s">
        <v>14</v>
      </c>
      <c r="F4" t="s">
        <v>15</v>
      </c>
      <c r="G4" t="s">
        <v>16</v>
      </c>
      <c r="H4" t="s">
        <v>17</v>
      </c>
      <c r="I4" t="s">
        <v>49</v>
      </c>
      <c r="J4" t="s">
        <v>54</v>
      </c>
    </row>
    <row r="5" spans="1:10" x14ac:dyDescent="0.25">
      <c r="A5" t="s">
        <v>11</v>
      </c>
      <c r="B5">
        <v>1</v>
      </c>
      <c r="C5">
        <v>1</v>
      </c>
      <c r="D5">
        <v>1</v>
      </c>
      <c r="E5">
        <v>1</v>
      </c>
      <c r="F5">
        <v>1</v>
      </c>
      <c r="G5">
        <v>0</v>
      </c>
      <c r="H5">
        <v>0</v>
      </c>
      <c r="I5">
        <v>0.39999999999999991</v>
      </c>
      <c r="J5">
        <v>70</v>
      </c>
    </row>
    <row r="6" spans="1:10" x14ac:dyDescent="0.25">
      <c r="A6" t="s">
        <v>12</v>
      </c>
      <c r="B6">
        <v>0</v>
      </c>
      <c r="C6">
        <v>1</v>
      </c>
      <c r="D6">
        <v>1</v>
      </c>
      <c r="E6">
        <v>1</v>
      </c>
      <c r="F6">
        <v>1</v>
      </c>
      <c r="G6">
        <v>1</v>
      </c>
      <c r="H6">
        <v>0</v>
      </c>
      <c r="I6">
        <v>1.4000000000000004</v>
      </c>
      <c r="J6">
        <v>72.5</v>
      </c>
    </row>
    <row r="7" spans="1:10" x14ac:dyDescent="0.25">
      <c r="A7" t="s">
        <v>13</v>
      </c>
      <c r="B7">
        <v>0</v>
      </c>
      <c r="C7">
        <v>0</v>
      </c>
      <c r="D7">
        <v>1</v>
      </c>
      <c r="E7">
        <v>1</v>
      </c>
      <c r="F7">
        <v>1</v>
      </c>
      <c r="G7">
        <v>1</v>
      </c>
      <c r="H7">
        <v>1</v>
      </c>
      <c r="I7">
        <v>5.3999999999999995</v>
      </c>
      <c r="J7">
        <v>75</v>
      </c>
    </row>
    <row r="8" spans="1:10" x14ac:dyDescent="0.25">
      <c r="A8" t="s">
        <v>14</v>
      </c>
      <c r="B8">
        <v>1</v>
      </c>
      <c r="C8">
        <v>0</v>
      </c>
      <c r="D8">
        <v>0</v>
      </c>
      <c r="E8">
        <v>1</v>
      </c>
      <c r="F8">
        <v>1</v>
      </c>
      <c r="G8">
        <v>1</v>
      </c>
      <c r="H8">
        <v>1</v>
      </c>
      <c r="I8">
        <v>3.4000000000000004</v>
      </c>
      <c r="J8">
        <v>75</v>
      </c>
    </row>
    <row r="9" spans="1:10" x14ac:dyDescent="0.25">
      <c r="A9" t="s">
        <v>15</v>
      </c>
      <c r="B9">
        <v>1</v>
      </c>
      <c r="C9">
        <v>1</v>
      </c>
      <c r="D9">
        <v>0</v>
      </c>
      <c r="E9">
        <v>0</v>
      </c>
      <c r="F9">
        <v>1</v>
      </c>
      <c r="G9">
        <v>1</v>
      </c>
      <c r="H9">
        <v>1</v>
      </c>
      <c r="I9">
        <v>7.3999999999999995</v>
      </c>
      <c r="J9">
        <v>75</v>
      </c>
    </row>
    <row r="10" spans="1:10" x14ac:dyDescent="0.25">
      <c r="A10" t="s">
        <v>16</v>
      </c>
      <c r="B10">
        <v>1</v>
      </c>
      <c r="C10">
        <v>1</v>
      </c>
      <c r="D10">
        <v>1</v>
      </c>
      <c r="E10">
        <v>0</v>
      </c>
      <c r="F10">
        <v>0</v>
      </c>
      <c r="G10">
        <v>1</v>
      </c>
      <c r="H10">
        <v>1</v>
      </c>
      <c r="I10">
        <v>2.4000000000000004</v>
      </c>
      <c r="J10">
        <v>75</v>
      </c>
    </row>
    <row r="11" spans="1:10" x14ac:dyDescent="0.25">
      <c r="A11" t="s">
        <v>17</v>
      </c>
      <c r="B11">
        <v>1</v>
      </c>
      <c r="C11">
        <v>1</v>
      </c>
      <c r="D11">
        <v>1</v>
      </c>
      <c r="E11">
        <v>1</v>
      </c>
      <c r="F11">
        <v>0</v>
      </c>
      <c r="G11">
        <v>0</v>
      </c>
      <c r="H11">
        <v>1</v>
      </c>
      <c r="I11">
        <v>5.3999999999999995</v>
      </c>
      <c r="J11">
        <v>72.5</v>
      </c>
    </row>
    <row r="13" spans="1:10" x14ac:dyDescent="0.25">
      <c r="A13" t="s">
        <v>50</v>
      </c>
      <c r="B13">
        <f>SUMPRODUCT($I$5:$I$11,B5:B11)</f>
        <v>19</v>
      </c>
      <c r="C13">
        <f t="shared" ref="C13:H13" si="0">SUMPRODUCT($I$5:$I$11,C5:C11)</f>
        <v>17</v>
      </c>
      <c r="D13">
        <f t="shared" si="0"/>
        <v>15</v>
      </c>
      <c r="E13">
        <f t="shared" si="0"/>
        <v>16</v>
      </c>
      <c r="F13">
        <f t="shared" si="0"/>
        <v>18</v>
      </c>
      <c r="G13">
        <f t="shared" si="0"/>
        <v>20</v>
      </c>
      <c r="H13">
        <f t="shared" si="0"/>
        <v>24</v>
      </c>
    </row>
    <row r="14" spans="1:10" x14ac:dyDescent="0.25">
      <c r="B14" t="s">
        <v>53</v>
      </c>
      <c r="C14" t="s">
        <v>8</v>
      </c>
      <c r="D14" t="s">
        <v>8</v>
      </c>
      <c r="E14" t="s">
        <v>8</v>
      </c>
      <c r="F14" t="s">
        <v>8</v>
      </c>
      <c r="G14" t="s">
        <v>8</v>
      </c>
      <c r="H14" t="s">
        <v>8</v>
      </c>
    </row>
    <row r="15" spans="1:10" x14ac:dyDescent="0.25">
      <c r="A15" t="s">
        <v>51</v>
      </c>
      <c r="B15">
        <v>19</v>
      </c>
      <c r="C15">
        <v>17</v>
      </c>
      <c r="D15">
        <v>15</v>
      </c>
      <c r="E15">
        <v>16</v>
      </c>
      <c r="F15">
        <v>18</v>
      </c>
      <c r="G15">
        <v>20</v>
      </c>
      <c r="H15">
        <v>24</v>
      </c>
    </row>
    <row r="17" spans="1:10" x14ac:dyDescent="0.25">
      <c r="A17" t="s">
        <v>52</v>
      </c>
      <c r="B17">
        <f>SUM(I5:I11)</f>
        <v>25.799999999999997</v>
      </c>
    </row>
    <row r="19" spans="1:10" x14ac:dyDescent="0.25">
      <c r="A19" t="s">
        <v>55</v>
      </c>
      <c r="B19">
        <f>SUMPRODUCT(I5:I11,J5:J11)</f>
        <v>1916</v>
      </c>
    </row>
    <row r="21" spans="1:10" x14ac:dyDescent="0.25">
      <c r="A21" t="s">
        <v>56</v>
      </c>
      <c r="B21" t="s">
        <v>57</v>
      </c>
    </row>
    <row r="23" spans="1:10" x14ac:dyDescent="0.25">
      <c r="A23" t="s">
        <v>46</v>
      </c>
    </row>
    <row r="25" spans="1:10" x14ac:dyDescent="0.25">
      <c r="D25" t="s">
        <v>48</v>
      </c>
    </row>
    <row r="26" spans="1:10" x14ac:dyDescent="0.25">
      <c r="A26" t="s">
        <v>10</v>
      </c>
      <c r="B26" t="s">
        <v>47</v>
      </c>
      <c r="C26" t="s">
        <v>12</v>
      </c>
      <c r="D26" t="s">
        <v>13</v>
      </c>
      <c r="E26" t="s">
        <v>14</v>
      </c>
      <c r="F26" t="s">
        <v>15</v>
      </c>
      <c r="G26" t="s">
        <v>16</v>
      </c>
      <c r="H26" t="s">
        <v>17</v>
      </c>
      <c r="I26" t="s">
        <v>49</v>
      </c>
      <c r="J26" t="s">
        <v>54</v>
      </c>
    </row>
    <row r="27" spans="1:10" x14ac:dyDescent="0.25">
      <c r="A27" t="s">
        <v>11</v>
      </c>
      <c r="B27">
        <v>1</v>
      </c>
      <c r="C27">
        <v>1</v>
      </c>
      <c r="D27">
        <v>1</v>
      </c>
      <c r="E27">
        <v>1</v>
      </c>
      <c r="F27">
        <v>1</v>
      </c>
      <c r="G27">
        <v>0</v>
      </c>
      <c r="H27">
        <v>0</v>
      </c>
      <c r="I27">
        <v>0</v>
      </c>
      <c r="J27">
        <v>70</v>
      </c>
    </row>
    <row r="28" spans="1:10" x14ac:dyDescent="0.25">
      <c r="A28" t="s">
        <v>12</v>
      </c>
      <c r="B28">
        <v>0</v>
      </c>
      <c r="C28">
        <v>1</v>
      </c>
      <c r="D28">
        <v>1</v>
      </c>
      <c r="E28">
        <v>1</v>
      </c>
      <c r="F28">
        <v>1</v>
      </c>
      <c r="G28">
        <v>1</v>
      </c>
      <c r="H28">
        <v>0</v>
      </c>
      <c r="I28">
        <v>2</v>
      </c>
      <c r="J28">
        <v>72.5</v>
      </c>
    </row>
    <row r="29" spans="1:10" x14ac:dyDescent="0.25">
      <c r="A29" t="s">
        <v>13</v>
      </c>
      <c r="B29">
        <v>0</v>
      </c>
      <c r="C29">
        <v>0</v>
      </c>
      <c r="D29">
        <v>1</v>
      </c>
      <c r="E29">
        <v>1</v>
      </c>
      <c r="F29">
        <v>1</v>
      </c>
      <c r="G29">
        <v>1</v>
      </c>
      <c r="H29">
        <v>1</v>
      </c>
      <c r="I29">
        <v>5</v>
      </c>
      <c r="J29">
        <v>75</v>
      </c>
    </row>
    <row r="30" spans="1:10" x14ac:dyDescent="0.25">
      <c r="A30" t="s">
        <v>14</v>
      </c>
      <c r="B30">
        <v>1</v>
      </c>
      <c r="C30">
        <v>0</v>
      </c>
      <c r="D30">
        <v>0</v>
      </c>
      <c r="E30">
        <v>1</v>
      </c>
      <c r="F30">
        <v>1</v>
      </c>
      <c r="G30">
        <v>1</v>
      </c>
      <c r="H30">
        <v>1</v>
      </c>
      <c r="I30">
        <v>4</v>
      </c>
      <c r="J30">
        <v>75</v>
      </c>
    </row>
    <row r="31" spans="1:10" x14ac:dyDescent="0.25">
      <c r="A31" t="s">
        <v>15</v>
      </c>
      <c r="B31">
        <v>1</v>
      </c>
      <c r="C31">
        <v>1</v>
      </c>
      <c r="D31">
        <v>0</v>
      </c>
      <c r="E31">
        <v>0</v>
      </c>
      <c r="F31">
        <v>1</v>
      </c>
      <c r="G31">
        <v>1</v>
      </c>
      <c r="H31">
        <v>1</v>
      </c>
      <c r="I31">
        <v>7</v>
      </c>
      <c r="J31">
        <v>75</v>
      </c>
    </row>
    <row r="32" spans="1:10" x14ac:dyDescent="0.25">
      <c r="A32" t="s">
        <v>16</v>
      </c>
      <c r="B32">
        <v>1</v>
      </c>
      <c r="C32">
        <v>1</v>
      </c>
      <c r="D32">
        <v>1</v>
      </c>
      <c r="E32">
        <v>0</v>
      </c>
      <c r="F32">
        <v>0</v>
      </c>
      <c r="G32">
        <v>1</v>
      </c>
      <c r="H32">
        <v>1</v>
      </c>
      <c r="I32">
        <v>3</v>
      </c>
      <c r="J32">
        <v>75</v>
      </c>
    </row>
    <row r="33" spans="1:10" x14ac:dyDescent="0.25">
      <c r="A33" t="s">
        <v>17</v>
      </c>
      <c r="B33">
        <v>1</v>
      </c>
      <c r="C33">
        <v>1</v>
      </c>
      <c r="D33">
        <v>1</v>
      </c>
      <c r="E33">
        <v>1</v>
      </c>
      <c r="F33">
        <v>0</v>
      </c>
      <c r="G33">
        <v>0</v>
      </c>
      <c r="H33">
        <v>1</v>
      </c>
      <c r="I33">
        <v>5</v>
      </c>
      <c r="J33">
        <v>72.5</v>
      </c>
    </row>
    <row r="35" spans="1:10" x14ac:dyDescent="0.25">
      <c r="A35" t="s">
        <v>50</v>
      </c>
      <c r="B35">
        <f>SUMPRODUCT($I$5:$I$11,B27:B33)</f>
        <v>19</v>
      </c>
      <c r="C35">
        <f t="shared" ref="C35:H35" si="1">SUMPRODUCT($I$5:$I$11,C27:C33)</f>
        <v>17</v>
      </c>
      <c r="D35">
        <f t="shared" si="1"/>
        <v>15</v>
      </c>
      <c r="E35">
        <f t="shared" si="1"/>
        <v>16</v>
      </c>
      <c r="F35">
        <f t="shared" si="1"/>
        <v>18</v>
      </c>
      <c r="G35">
        <f t="shared" si="1"/>
        <v>20</v>
      </c>
      <c r="H35">
        <f t="shared" si="1"/>
        <v>24</v>
      </c>
    </row>
    <row r="36" spans="1:10" x14ac:dyDescent="0.25">
      <c r="B36" t="s">
        <v>53</v>
      </c>
      <c r="C36" t="s">
        <v>8</v>
      </c>
      <c r="D36" t="s">
        <v>8</v>
      </c>
      <c r="E36" t="s">
        <v>8</v>
      </c>
      <c r="F36" t="s">
        <v>8</v>
      </c>
      <c r="G36" t="s">
        <v>8</v>
      </c>
      <c r="H36" t="s">
        <v>8</v>
      </c>
    </row>
    <row r="37" spans="1:10" x14ac:dyDescent="0.25">
      <c r="A37" t="s">
        <v>51</v>
      </c>
      <c r="B37">
        <v>19</v>
      </c>
      <c r="C37">
        <v>17</v>
      </c>
      <c r="D37">
        <v>15</v>
      </c>
      <c r="E37">
        <v>16</v>
      </c>
      <c r="F37">
        <v>18</v>
      </c>
      <c r="G37">
        <v>20</v>
      </c>
      <c r="H37">
        <v>24</v>
      </c>
    </row>
    <row r="39" spans="1:10" x14ac:dyDescent="0.25">
      <c r="A39" t="s">
        <v>52</v>
      </c>
      <c r="B39">
        <f>SUM(I27:I33)</f>
        <v>26</v>
      </c>
    </row>
    <row r="41" spans="1:10" x14ac:dyDescent="0.25">
      <c r="A41" t="s">
        <v>55</v>
      </c>
      <c r="B41">
        <f>SUMPRODUCT(I27:I33,J27:J33)</f>
        <v>1932.5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6</vt:i4>
      </vt:variant>
    </vt:vector>
  </HeadingPairs>
  <TitlesOfParts>
    <vt:vector size="8" baseType="lpstr">
      <vt:lpstr>&lt;실습과제1&gt;</vt:lpstr>
      <vt:lpstr>&lt;실습과제 2&gt;</vt:lpstr>
      <vt:lpstr>요일별_근무자_합계</vt:lpstr>
      <vt:lpstr>요일별_시작_직원수</vt:lpstr>
      <vt:lpstr>요일별_시작_택배원수</vt:lpstr>
      <vt:lpstr>요일별_최소_직원수</vt:lpstr>
      <vt:lpstr>요일별_최소_택배원수</vt:lpstr>
      <vt:lpstr>요일별_합계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장 진우</dc:creator>
  <cp:lastModifiedBy>장 진우</cp:lastModifiedBy>
  <dcterms:created xsi:type="dcterms:W3CDTF">2020-04-07T02:50:16Z</dcterms:created>
  <dcterms:modified xsi:type="dcterms:W3CDTF">2020-04-07T03:45:14Z</dcterms:modified>
</cp:coreProperties>
</file>