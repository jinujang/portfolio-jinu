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내 드라이브/4.Business/1.1 대학생활/3학년 1학기/2) 경영과학2/"/>
    </mc:Choice>
  </mc:AlternateContent>
  <xr:revisionPtr revIDLastSave="0" documentId="13_ncr:1_{F2783EE2-787E-7641-BAB5-DBBBC55E7540}" xr6:coauthVersionLast="46" xr6:coauthVersionMax="46" xr10:uidLastSave="{00000000-0000-0000-0000-000000000000}"/>
  <bookViews>
    <workbookView xWindow="3440" yWindow="1100" windowWidth="25240" windowHeight="17440" activeTab="2" xr2:uid="{3B913798-D868-AF4F-93E7-8BAD1397EDF3}"/>
  </bookViews>
  <sheets>
    <sheet name="진화해찾기" sheetId="2" r:id="rId1"/>
    <sheet name="휴리스틱해법" sheetId="1" r:id="rId2"/>
    <sheet name="연습문제 8.4" sheetId="3" r:id="rId3"/>
  </sheets>
  <definedNames>
    <definedName name="solver_adj" localSheetId="0" hidden="1">진화해찾기!$C$18:$C$27</definedName>
    <definedName name="solver_adj" localSheetId="1" hidden="1">휴리스틱해법!$C$18:$M$28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3</definedName>
    <definedName name="solver_eng" localSheetId="1" hidden="1">2</definedName>
    <definedName name="solver_itr" localSheetId="0" hidden="1">100</definedName>
    <definedName name="solver_itr" localSheetId="1" hidden="1">2147483647</definedName>
    <definedName name="solver_lhs1" localSheetId="0" hidden="1">진화해찾기!$C$18:$C$27</definedName>
    <definedName name="solver_lhs1" localSheetId="1" hidden="1">휴리스틱해법!$C$29</definedName>
    <definedName name="solver_lhs10" localSheetId="1" hidden="1">휴리스틱해법!$L$29</definedName>
    <definedName name="solver_lhs11" localSheetId="1" hidden="1">휴리스틱해법!$M$29</definedName>
    <definedName name="solver_lhs12" localSheetId="1" hidden="1">휴리스틱해법!$N$18</definedName>
    <definedName name="solver_lhs13" localSheetId="1" hidden="1">휴리스틱해법!$N$19</definedName>
    <definedName name="solver_lhs14" localSheetId="1" hidden="1">휴리스틱해법!$N$20</definedName>
    <definedName name="solver_lhs15" localSheetId="1" hidden="1">휴리스틱해법!$N$21</definedName>
    <definedName name="solver_lhs16" localSheetId="1" hidden="1">휴리스틱해법!$N$22</definedName>
    <definedName name="solver_lhs17" localSheetId="1" hidden="1">휴리스틱해법!$N$23</definedName>
    <definedName name="solver_lhs18" localSheetId="1" hidden="1">휴리스틱해법!$N$24</definedName>
    <definedName name="solver_lhs19" localSheetId="1" hidden="1">휴리스틱해법!$N$25</definedName>
    <definedName name="solver_lhs2" localSheetId="1" hidden="1">휴리스틱해법!$D$29</definedName>
    <definedName name="solver_lhs20" localSheetId="1" hidden="1">휴리스틱해법!$N$26</definedName>
    <definedName name="solver_lhs21" localSheetId="1" hidden="1">휴리스틱해법!$N$27</definedName>
    <definedName name="solver_lhs22" localSheetId="1" hidden="1">휴리스틱해법!$N$28</definedName>
    <definedName name="solver_lhs3" localSheetId="1" hidden="1">휴리스틱해법!$E$29</definedName>
    <definedName name="solver_lhs4" localSheetId="1" hidden="1">휴리스틱해법!$F$29</definedName>
    <definedName name="solver_lhs5" localSheetId="1" hidden="1">휴리스틱해법!$G$29</definedName>
    <definedName name="solver_lhs6" localSheetId="1" hidden="1">휴리스틱해법!$H$29</definedName>
    <definedName name="solver_lhs7" localSheetId="1" hidden="1">휴리스틱해법!$I$29</definedName>
    <definedName name="solver_lhs8" localSheetId="1" hidden="1">휴리스틱해법!$J$29</definedName>
    <definedName name="solver_lhs9" localSheetId="1" hidden="1">휴리스틱해법!$K$29</definedName>
    <definedName name="solver_lin" localSheetId="0" hidden="1">2</definedName>
    <definedName name="solver_lin" localSheetId="1" hidden="1">1</definedName>
    <definedName name="solver_mip" localSheetId="0" hidden="1">5000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5000</definedName>
    <definedName name="solver_nod" localSheetId="1" hidden="1">2147483647</definedName>
    <definedName name="solver_num" localSheetId="0" hidden="1">1</definedName>
    <definedName name="solver_num" localSheetId="1" hidden="1">22</definedName>
    <definedName name="solver_opt" localSheetId="0" hidden="1">진화해찾기!$D$28</definedName>
    <definedName name="solver_opt" localSheetId="1" hidden="1">휴리스틱해법!$C$34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6</definedName>
    <definedName name="solver_rel1" localSheetId="1" hidden="1">2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13" localSheetId="1" hidden="1">2</definedName>
    <definedName name="solver_rel14" localSheetId="1" hidden="1">2</definedName>
    <definedName name="solver_rel15" localSheetId="1" hidden="1">2</definedName>
    <definedName name="solver_rel16" localSheetId="1" hidden="1">2</definedName>
    <definedName name="solver_rel17" localSheetId="1" hidden="1">2</definedName>
    <definedName name="solver_rel18" localSheetId="1" hidden="1">2</definedName>
    <definedName name="solver_rel19" localSheetId="1" hidden="1">2</definedName>
    <definedName name="solver_rel2" localSheetId="1" hidden="1">2</definedName>
    <definedName name="solver_rel20" localSheetId="1" hidden="1">2</definedName>
    <definedName name="solver_rel21" localSheetId="1" hidden="1">2</definedName>
    <definedName name="solver_rel2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0" hidden="1">AllDifferent</definedName>
    <definedName name="solver_rhs1" localSheetId="1" hidden="1">휴리스틱해법!$C$31</definedName>
    <definedName name="solver_rhs10" localSheetId="1" hidden="1">휴리스틱해법!$L$31</definedName>
    <definedName name="solver_rhs11" localSheetId="1" hidden="1">휴리스틱해법!$M$31</definedName>
    <definedName name="solver_rhs12" localSheetId="1" hidden="1">휴리스틱해법!$P$18</definedName>
    <definedName name="solver_rhs13" localSheetId="1" hidden="1">휴리스틱해법!$P$19</definedName>
    <definedName name="solver_rhs14" localSheetId="1" hidden="1">휴리스틱해법!$P$20</definedName>
    <definedName name="solver_rhs15" localSheetId="1" hidden="1">휴리스틱해법!$P$21</definedName>
    <definedName name="solver_rhs16" localSheetId="1" hidden="1">휴리스틱해법!$P$22</definedName>
    <definedName name="solver_rhs17" localSheetId="1" hidden="1">휴리스틱해법!$P$23</definedName>
    <definedName name="solver_rhs18" localSheetId="1" hidden="1">휴리스틱해법!$P$24</definedName>
    <definedName name="solver_rhs19" localSheetId="1" hidden="1">휴리스틱해법!$P$25</definedName>
    <definedName name="solver_rhs2" localSheetId="1" hidden="1">휴리스틱해법!$D$31</definedName>
    <definedName name="solver_rhs20" localSheetId="1" hidden="1">휴리스틱해법!$P$26</definedName>
    <definedName name="solver_rhs21" localSheetId="1" hidden="1">휴리스틱해법!$P$27</definedName>
    <definedName name="solver_rhs22" localSheetId="1" hidden="1">휴리스틱해법!$P$28</definedName>
    <definedName name="solver_rhs3" localSheetId="1" hidden="1">휴리스틱해법!$E$31</definedName>
    <definedName name="solver_rhs4" localSheetId="1" hidden="1">휴리스틱해법!$F$31</definedName>
    <definedName name="solver_rhs5" localSheetId="1" hidden="1">휴리스틱해법!$G$31</definedName>
    <definedName name="solver_rhs6" localSheetId="1" hidden="1">휴리스틱해법!$H$31</definedName>
    <definedName name="solver_rhs7" localSheetId="1" hidden="1">휴리스틱해법!$I$31</definedName>
    <definedName name="solver_rhs8" localSheetId="1" hidden="1">휴리스틱해법!$J$31</definedName>
    <definedName name="solver_rhs9" localSheetId="1" hidden="1">휴리스틱해법!$K$31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100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3" l="1"/>
  <c r="E25" i="3"/>
  <c r="F25" i="3" s="1"/>
  <c r="F11" i="3"/>
  <c r="F10" i="3"/>
  <c r="E11" i="3"/>
  <c r="E12" i="3" s="1"/>
  <c r="C34" i="1"/>
  <c r="D31" i="1"/>
  <c r="E31" i="1"/>
  <c r="F31" i="1"/>
  <c r="G31" i="1"/>
  <c r="H31" i="1"/>
  <c r="I31" i="1"/>
  <c r="J31" i="1"/>
  <c r="K31" i="1"/>
  <c r="L31" i="1"/>
  <c r="M31" i="1"/>
  <c r="C31" i="1"/>
  <c r="P19" i="1"/>
  <c r="P20" i="1"/>
  <c r="P21" i="1"/>
  <c r="P22" i="1"/>
  <c r="P23" i="1"/>
  <c r="P24" i="1"/>
  <c r="P25" i="1"/>
  <c r="P26" i="1"/>
  <c r="P27" i="1"/>
  <c r="P28" i="1"/>
  <c r="P18" i="1"/>
  <c r="D18" i="2" a="1"/>
  <c r="D18" i="2" s="1"/>
  <c r="B25" i="2"/>
  <c r="D25" i="2" s="1" a="1"/>
  <c r="D25" i="2" s="1"/>
  <c r="B26" i="2"/>
  <c r="D26" i="2" s="1" a="1"/>
  <c r="D26" i="2" s="1"/>
  <c r="B27" i="2"/>
  <c r="D27" i="2" s="1" a="1"/>
  <c r="D27" i="2" s="1"/>
  <c r="B22" i="2"/>
  <c r="D22" i="2" s="1" a="1"/>
  <c r="D22" i="2" s="1"/>
  <c r="B23" i="2"/>
  <c r="D23" i="2" s="1" a="1"/>
  <c r="D23" i="2" s="1"/>
  <c r="B24" i="2"/>
  <c r="D24" i="2" s="1" a="1"/>
  <c r="D24" i="2" s="1"/>
  <c r="B20" i="2"/>
  <c r="D20" i="2" s="1" a="1"/>
  <c r="D20" i="2" s="1"/>
  <c r="B21" i="2"/>
  <c r="D21" i="2" s="1" a="1"/>
  <c r="D21" i="2" s="1"/>
  <c r="B19" i="2"/>
  <c r="D19" i="2" s="1" a="1"/>
  <c r="D19" i="2" s="1"/>
  <c r="F12" i="3" l="1"/>
  <c r="E13" i="3"/>
  <c r="E26" i="3"/>
  <c r="D28" i="2"/>
  <c r="E27" i="3" l="1"/>
  <c r="F26" i="3"/>
  <c r="F13" i="3"/>
  <c r="E14" i="3"/>
  <c r="F14" i="3" l="1"/>
  <c r="E15" i="3"/>
  <c r="F27" i="3"/>
  <c r="E28" i="3"/>
  <c r="E16" i="3" l="1"/>
  <c r="F15" i="3"/>
  <c r="F28" i="3"/>
  <c r="E29" i="3"/>
  <c r="F16" i="3" l="1"/>
  <c r="E17" i="3"/>
  <c r="F29" i="3"/>
  <c r="E30" i="3"/>
  <c r="E31" i="3" l="1"/>
  <c r="F30" i="3"/>
  <c r="F17" i="3"/>
  <c r="E18" i="3"/>
  <c r="F31" i="3" l="1"/>
  <c r="E32" i="3"/>
  <c r="F18" i="3"/>
  <c r="E19" i="3"/>
  <c r="F19" i="3" s="1"/>
  <c r="F32" i="3" l="1"/>
  <c r="E33" i="3"/>
  <c r="F3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<sst xmlns="http://schemas.openxmlformats.org/spreadsheetml/2006/main" count="129" uniqueCount="35">
  <si>
    <t>외판원 문제 : 진화해찾기</t>
    <phoneticPr fontId="1" type="noConversion"/>
  </si>
  <si>
    <t>입력자료</t>
    <phoneticPr fontId="1" type="noConversion"/>
  </si>
  <si>
    <t>출발/도착</t>
    <phoneticPr fontId="1" type="noConversion"/>
  </si>
  <si>
    <t>모형</t>
    <phoneticPr fontId="1" type="noConversion"/>
  </si>
  <si>
    <t>출발</t>
    <phoneticPr fontId="1" type="noConversion"/>
  </si>
  <si>
    <t>도착</t>
    <phoneticPr fontId="1" type="noConversion"/>
  </si>
  <si>
    <t>비용</t>
    <phoneticPr fontId="1" type="noConversion"/>
  </si>
  <si>
    <t>A(0)</t>
    <phoneticPr fontId="1" type="noConversion"/>
  </si>
  <si>
    <t>B(1)</t>
    <phoneticPr fontId="1" type="noConversion"/>
  </si>
  <si>
    <t>C(2)</t>
    <phoneticPr fontId="1" type="noConversion"/>
  </si>
  <si>
    <t>D(3)</t>
    <phoneticPr fontId="1" type="noConversion"/>
  </si>
  <si>
    <t>E(4)</t>
    <phoneticPr fontId="1" type="noConversion"/>
  </si>
  <si>
    <t>F(5)</t>
    <phoneticPr fontId="1" type="noConversion"/>
  </si>
  <si>
    <t>G(6)</t>
    <phoneticPr fontId="1" type="noConversion"/>
  </si>
  <si>
    <t>H(7)</t>
    <phoneticPr fontId="1" type="noConversion"/>
  </si>
  <si>
    <t>I(8)</t>
    <phoneticPr fontId="1" type="noConversion"/>
  </si>
  <si>
    <t>J(9)</t>
    <phoneticPr fontId="1" type="noConversion"/>
  </si>
  <si>
    <t>K(10)</t>
    <phoneticPr fontId="1" type="noConversion"/>
  </si>
  <si>
    <t>총비용</t>
    <phoneticPr fontId="1" type="noConversion"/>
  </si>
  <si>
    <t>최소화</t>
    <phoneticPr fontId="1" type="noConversion"/>
  </si>
  <si>
    <t>외판원 문제 : 휴리스틱해법</t>
    <phoneticPr fontId="1" type="noConversion"/>
  </si>
  <si>
    <t>합</t>
    <phoneticPr fontId="1" type="noConversion"/>
  </si>
  <si>
    <t>=</t>
    <phoneticPr fontId="1" type="noConversion"/>
  </si>
  <si>
    <t>할당제약</t>
    <phoneticPr fontId="1" type="noConversion"/>
  </si>
  <si>
    <t>목표셀</t>
    <phoneticPr fontId="1" type="noConversion"/>
  </si>
  <si>
    <t>K인쇄소 인쇄작업계획</t>
    <phoneticPr fontId="1" type="noConversion"/>
  </si>
  <si>
    <t>작업번호</t>
    <phoneticPr fontId="1" type="noConversion"/>
  </si>
  <si>
    <t>작업기간</t>
    <phoneticPr fontId="1" type="noConversion"/>
  </si>
  <si>
    <t>납기일</t>
    <phoneticPr fontId="1" type="noConversion"/>
  </si>
  <si>
    <t>작업기간 증가하는 순으로 계획</t>
    <phoneticPr fontId="1" type="noConversion"/>
  </si>
  <si>
    <t>작업완료일</t>
    <phoneticPr fontId="1" type="noConversion"/>
  </si>
  <si>
    <t>늦어지는 일수</t>
    <phoneticPr fontId="1" type="noConversion"/>
  </si>
  <si>
    <t>늦어지는 총 일수</t>
    <phoneticPr fontId="1" type="noConversion"/>
  </si>
  <si>
    <t>최대로 늦어지는 작업의 일수</t>
    <phoneticPr fontId="1" type="noConversion"/>
  </si>
  <si>
    <t>납기일이 증가하는 순서로 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</si>
</sst>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6C14-23D7-234A-B7C7-CD842321324E}">
  <dimension ref="A1:M28"/>
  <sheetViews>
    <sheetView workbookViewId="0">
      <selection activeCell="C33" sqref="C33"/>
    </sheetView>
  </sheetViews>
  <sheetFormatPr baseColWidth="10" defaultRowHeight="18"/>
  <sheetData>
    <row r="1" spans="1:13">
      <c r="A1" t="s">
        <v>0</v>
      </c>
    </row>
    <row r="3" spans="1:13">
      <c r="A3" t="s">
        <v>1</v>
      </c>
    </row>
    <row r="4" spans="1:13">
      <c r="B4" t="s">
        <v>2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</row>
    <row r="5" spans="1:13">
      <c r="B5" t="s">
        <v>7</v>
      </c>
      <c r="C5">
        <v>0</v>
      </c>
      <c r="D5">
        <v>105</v>
      </c>
      <c r="E5">
        <v>115</v>
      </c>
      <c r="H5">
        <v>85</v>
      </c>
    </row>
    <row r="6" spans="1:13">
      <c r="B6" t="s">
        <v>8</v>
      </c>
      <c r="C6">
        <v>105</v>
      </c>
      <c r="D6">
        <v>0</v>
      </c>
      <c r="F6">
        <v>100</v>
      </c>
      <c r="G6">
        <v>95</v>
      </c>
      <c r="H6">
        <v>110</v>
      </c>
    </row>
    <row r="7" spans="1:13">
      <c r="B7" t="s">
        <v>9</v>
      </c>
      <c r="C7">
        <v>115</v>
      </c>
      <c r="E7">
        <v>0</v>
      </c>
      <c r="I7">
        <v>95</v>
      </c>
    </row>
    <row r="8" spans="1:13">
      <c r="B8" t="s">
        <v>10</v>
      </c>
      <c r="D8">
        <v>100</v>
      </c>
      <c r="F8">
        <v>0</v>
      </c>
      <c r="G8">
        <v>80</v>
      </c>
      <c r="J8">
        <v>70</v>
      </c>
      <c r="M8">
        <v>120</v>
      </c>
    </row>
    <row r="9" spans="1:13">
      <c r="B9" t="s">
        <v>11</v>
      </c>
      <c r="D9">
        <v>95</v>
      </c>
      <c r="F9">
        <v>80</v>
      </c>
      <c r="G9">
        <v>0</v>
      </c>
      <c r="H9">
        <v>90</v>
      </c>
      <c r="J9">
        <v>75</v>
      </c>
    </row>
    <row r="10" spans="1:13">
      <c r="B10" t="s">
        <v>12</v>
      </c>
      <c r="C10">
        <v>85</v>
      </c>
      <c r="D10">
        <v>110</v>
      </c>
      <c r="G10">
        <v>90</v>
      </c>
      <c r="H10">
        <v>0</v>
      </c>
      <c r="K10">
        <v>130</v>
      </c>
    </row>
    <row r="11" spans="1:13">
      <c r="B11" t="s">
        <v>13</v>
      </c>
      <c r="E11">
        <v>95</v>
      </c>
      <c r="I11">
        <v>0</v>
      </c>
      <c r="K11">
        <v>75</v>
      </c>
      <c r="L11">
        <v>160</v>
      </c>
    </row>
    <row r="12" spans="1:13">
      <c r="B12" t="s">
        <v>14</v>
      </c>
      <c r="F12">
        <v>70</v>
      </c>
      <c r="G12">
        <v>75</v>
      </c>
      <c r="J12">
        <v>0</v>
      </c>
      <c r="K12">
        <v>85</v>
      </c>
      <c r="M12">
        <v>75</v>
      </c>
    </row>
    <row r="13" spans="1:13">
      <c r="B13" t="s">
        <v>15</v>
      </c>
      <c r="H13">
        <v>130</v>
      </c>
      <c r="I13">
        <v>75</v>
      </c>
      <c r="J13">
        <v>85</v>
      </c>
      <c r="K13">
        <v>0</v>
      </c>
      <c r="L13">
        <v>110</v>
      </c>
      <c r="M13">
        <v>140</v>
      </c>
    </row>
    <row r="14" spans="1:13">
      <c r="B14" t="s">
        <v>16</v>
      </c>
      <c r="I14">
        <v>160</v>
      </c>
      <c r="K14">
        <v>110</v>
      </c>
      <c r="L14">
        <v>0</v>
      </c>
      <c r="M14">
        <v>110</v>
      </c>
    </row>
    <row r="15" spans="1:13">
      <c r="B15" t="s">
        <v>17</v>
      </c>
      <c r="F15">
        <v>120</v>
      </c>
      <c r="J15">
        <v>75</v>
      </c>
      <c r="K15">
        <v>140</v>
      </c>
      <c r="L15">
        <v>110</v>
      </c>
      <c r="M15">
        <v>0</v>
      </c>
    </row>
    <row r="16" spans="1:13">
      <c r="A16" t="s">
        <v>3</v>
      </c>
    </row>
    <row r="17" spans="2:5">
      <c r="B17" t="s">
        <v>4</v>
      </c>
      <c r="C17" t="s">
        <v>5</v>
      </c>
      <c r="D17" t="s">
        <v>6</v>
      </c>
    </row>
    <row r="18" spans="2:5">
      <c r="B18">
        <v>0</v>
      </c>
      <c r="C18">
        <v>2</v>
      </c>
      <c r="D18" cm="1">
        <f t="array" ref="D18">INDEX($C$5:$M$15,B18+1,C18+1)</f>
        <v>115</v>
      </c>
    </row>
    <row r="19" spans="2:5">
      <c r="B19">
        <f>C18</f>
        <v>2</v>
      </c>
      <c r="C19">
        <v>6</v>
      </c>
      <c r="D19" cm="1">
        <f t="array" ref="D19">INDEX($C$5:$M$15,B19+1,C19+1)</f>
        <v>95</v>
      </c>
    </row>
    <row r="20" spans="2:5">
      <c r="B20">
        <f t="shared" ref="B20:B27" si="0">C19</f>
        <v>6</v>
      </c>
      <c r="C20">
        <v>9</v>
      </c>
      <c r="D20" cm="1">
        <f t="array" ref="D20">INDEX($C$5:$M$15,B20+1,C20+1)</f>
        <v>160</v>
      </c>
    </row>
    <row r="21" spans="2:5">
      <c r="B21">
        <f t="shared" si="0"/>
        <v>9</v>
      </c>
      <c r="C21">
        <v>8</v>
      </c>
      <c r="D21" cm="1">
        <f t="array" ref="D21">INDEX($C$5:$M$15,B21+1,C21+1)</f>
        <v>110</v>
      </c>
    </row>
    <row r="22" spans="2:5">
      <c r="B22">
        <f>C21</f>
        <v>8</v>
      </c>
      <c r="C22">
        <v>10</v>
      </c>
      <c r="D22" cm="1">
        <f t="array" ref="D22">INDEX($C$5:$M$15,B22+1,C22+1)</f>
        <v>140</v>
      </c>
    </row>
    <row r="23" spans="2:5">
      <c r="B23">
        <f t="shared" si="0"/>
        <v>10</v>
      </c>
      <c r="C23">
        <v>3</v>
      </c>
      <c r="D23" cm="1">
        <f t="array" ref="D23">INDEX($C$5:$M$15,B23+1,C23+1)</f>
        <v>120</v>
      </c>
    </row>
    <row r="24" spans="2:5">
      <c r="B24">
        <f t="shared" si="0"/>
        <v>3</v>
      </c>
      <c r="C24">
        <v>1</v>
      </c>
      <c r="D24" cm="1">
        <f t="array" ref="D24">INDEX($C$5:$M$15,B24+1,C24+1)</f>
        <v>100</v>
      </c>
    </row>
    <row r="25" spans="2:5">
      <c r="B25">
        <f>C24</f>
        <v>1</v>
      </c>
      <c r="C25">
        <v>5</v>
      </c>
      <c r="D25" cm="1">
        <f t="array" ref="D25">INDEX($C$5:$M$15,B25+1,C25+1)</f>
        <v>110</v>
      </c>
    </row>
    <row r="26" spans="2:5">
      <c r="B26">
        <f t="shared" si="0"/>
        <v>5</v>
      </c>
      <c r="C26">
        <v>4</v>
      </c>
      <c r="D26" cm="1">
        <f t="array" ref="D26">INDEX($C$5:$M$15,B26+1,C26+1)</f>
        <v>90</v>
      </c>
    </row>
    <row r="27" spans="2:5">
      <c r="B27">
        <f t="shared" si="0"/>
        <v>4</v>
      </c>
      <c r="C27">
        <v>7</v>
      </c>
      <c r="D27" cm="1">
        <f t="array" ref="D27">INDEX($C$5:$M$15,B27+1,C27+1)</f>
        <v>75</v>
      </c>
    </row>
    <row r="28" spans="2:5">
      <c r="C28" t="s">
        <v>18</v>
      </c>
      <c r="D28">
        <f>SUM(D18:D27)</f>
        <v>1115</v>
      </c>
      <c r="E28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4FC9-3A70-464D-937D-5C804890C478}">
  <dimension ref="A1:P34"/>
  <sheetViews>
    <sheetView workbookViewId="0">
      <selection activeCell="E34" sqref="E34"/>
    </sheetView>
  </sheetViews>
  <sheetFormatPr baseColWidth="10" defaultRowHeight="18"/>
  <sheetData>
    <row r="1" spans="1:13">
      <c r="A1" t="s">
        <v>20</v>
      </c>
    </row>
    <row r="3" spans="1:13">
      <c r="A3" t="s">
        <v>1</v>
      </c>
    </row>
    <row r="4" spans="1:13">
      <c r="B4" t="s">
        <v>2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</row>
    <row r="5" spans="1:13">
      <c r="B5" t="s">
        <v>7</v>
      </c>
      <c r="C5">
        <v>100000</v>
      </c>
      <c r="D5">
        <v>105</v>
      </c>
      <c r="E5">
        <v>115</v>
      </c>
      <c r="F5">
        <v>100000</v>
      </c>
      <c r="G5">
        <v>100000</v>
      </c>
      <c r="H5">
        <v>85</v>
      </c>
      <c r="I5">
        <v>100000</v>
      </c>
      <c r="J5">
        <v>100000</v>
      </c>
      <c r="K5">
        <v>100000</v>
      </c>
      <c r="L5">
        <v>100000</v>
      </c>
      <c r="M5" s="1">
        <v>100000</v>
      </c>
    </row>
    <row r="6" spans="1:13">
      <c r="B6" t="s">
        <v>8</v>
      </c>
      <c r="C6">
        <v>105</v>
      </c>
      <c r="D6">
        <v>100000</v>
      </c>
      <c r="E6">
        <v>100000</v>
      </c>
      <c r="F6">
        <v>100</v>
      </c>
      <c r="G6">
        <v>95</v>
      </c>
      <c r="H6">
        <v>110</v>
      </c>
      <c r="I6">
        <v>100000</v>
      </c>
      <c r="J6">
        <v>100000</v>
      </c>
      <c r="K6">
        <v>100000</v>
      </c>
      <c r="L6">
        <v>100000</v>
      </c>
      <c r="M6" s="1">
        <v>100000</v>
      </c>
    </row>
    <row r="7" spans="1:13">
      <c r="B7" t="s">
        <v>9</v>
      </c>
      <c r="C7">
        <v>115</v>
      </c>
      <c r="D7" s="1">
        <v>100000</v>
      </c>
      <c r="E7">
        <v>100000</v>
      </c>
      <c r="F7">
        <v>100000</v>
      </c>
      <c r="G7">
        <v>100000</v>
      </c>
      <c r="H7">
        <v>100000</v>
      </c>
      <c r="I7">
        <v>95</v>
      </c>
      <c r="J7">
        <v>100000</v>
      </c>
      <c r="K7">
        <v>100000</v>
      </c>
      <c r="L7">
        <v>100000</v>
      </c>
      <c r="M7" s="1">
        <v>100000</v>
      </c>
    </row>
    <row r="8" spans="1:13">
      <c r="B8" t="s">
        <v>10</v>
      </c>
      <c r="C8">
        <v>100000</v>
      </c>
      <c r="D8">
        <v>100</v>
      </c>
      <c r="E8">
        <v>100000</v>
      </c>
      <c r="F8">
        <v>100000</v>
      </c>
      <c r="G8">
        <v>80</v>
      </c>
      <c r="H8" s="1">
        <v>100000</v>
      </c>
      <c r="I8">
        <v>100000</v>
      </c>
      <c r="J8">
        <v>70</v>
      </c>
      <c r="K8">
        <v>100000</v>
      </c>
      <c r="L8">
        <v>100000</v>
      </c>
      <c r="M8">
        <v>120</v>
      </c>
    </row>
    <row r="9" spans="1:13">
      <c r="B9" t="s">
        <v>11</v>
      </c>
      <c r="C9">
        <v>100000</v>
      </c>
      <c r="D9">
        <v>95</v>
      </c>
      <c r="E9">
        <v>100000</v>
      </c>
      <c r="F9">
        <v>80</v>
      </c>
      <c r="G9">
        <v>100000</v>
      </c>
      <c r="H9">
        <v>90</v>
      </c>
      <c r="I9">
        <v>100000</v>
      </c>
      <c r="J9">
        <v>75</v>
      </c>
      <c r="K9">
        <v>100000</v>
      </c>
      <c r="L9">
        <v>100000</v>
      </c>
      <c r="M9" s="1">
        <v>100000</v>
      </c>
    </row>
    <row r="10" spans="1:13">
      <c r="B10" t="s">
        <v>12</v>
      </c>
      <c r="C10">
        <v>85</v>
      </c>
      <c r="D10">
        <v>110</v>
      </c>
      <c r="E10">
        <v>100000</v>
      </c>
      <c r="F10" s="1">
        <v>100000</v>
      </c>
      <c r="G10">
        <v>90</v>
      </c>
      <c r="H10">
        <v>100000</v>
      </c>
      <c r="I10">
        <v>100000</v>
      </c>
      <c r="J10">
        <v>100000</v>
      </c>
      <c r="K10">
        <v>130</v>
      </c>
      <c r="L10">
        <v>100000</v>
      </c>
      <c r="M10" s="1">
        <v>100000</v>
      </c>
    </row>
    <row r="11" spans="1:13">
      <c r="B11" t="s">
        <v>13</v>
      </c>
      <c r="C11">
        <v>100000</v>
      </c>
      <c r="D11">
        <v>100000</v>
      </c>
      <c r="E11">
        <v>95</v>
      </c>
      <c r="F11" s="1">
        <v>100000</v>
      </c>
      <c r="G11">
        <v>100000</v>
      </c>
      <c r="H11">
        <v>100000</v>
      </c>
      <c r="I11">
        <v>100000</v>
      </c>
      <c r="J11">
        <v>100000</v>
      </c>
      <c r="K11">
        <v>75</v>
      </c>
      <c r="L11">
        <v>160</v>
      </c>
      <c r="M11" s="1">
        <v>100000</v>
      </c>
    </row>
    <row r="12" spans="1:13">
      <c r="B12" t="s">
        <v>14</v>
      </c>
      <c r="C12">
        <v>100000</v>
      </c>
      <c r="D12">
        <v>100000</v>
      </c>
      <c r="E12">
        <v>100000</v>
      </c>
      <c r="F12">
        <v>70</v>
      </c>
      <c r="G12">
        <v>75</v>
      </c>
      <c r="H12">
        <v>100000</v>
      </c>
      <c r="I12">
        <v>100000</v>
      </c>
      <c r="J12">
        <v>100000</v>
      </c>
      <c r="K12">
        <v>85</v>
      </c>
      <c r="L12" s="1">
        <v>100000</v>
      </c>
      <c r="M12">
        <v>75</v>
      </c>
    </row>
    <row r="13" spans="1:13">
      <c r="B13" t="s">
        <v>15</v>
      </c>
      <c r="C13">
        <v>100000</v>
      </c>
      <c r="D13">
        <v>100000</v>
      </c>
      <c r="E13">
        <v>100000</v>
      </c>
      <c r="F13">
        <v>100000</v>
      </c>
      <c r="G13">
        <v>100000</v>
      </c>
      <c r="H13">
        <v>130</v>
      </c>
      <c r="I13">
        <v>75</v>
      </c>
      <c r="J13">
        <v>85</v>
      </c>
      <c r="K13">
        <v>100000</v>
      </c>
      <c r="L13">
        <v>110</v>
      </c>
      <c r="M13">
        <v>140</v>
      </c>
    </row>
    <row r="14" spans="1:13">
      <c r="B14" t="s">
        <v>16</v>
      </c>
      <c r="C14">
        <v>100000</v>
      </c>
      <c r="D14">
        <v>100000</v>
      </c>
      <c r="E14">
        <v>100000</v>
      </c>
      <c r="F14">
        <v>100000</v>
      </c>
      <c r="G14">
        <v>100000</v>
      </c>
      <c r="H14">
        <v>100000</v>
      </c>
      <c r="I14">
        <v>160</v>
      </c>
      <c r="J14" s="1">
        <v>100000</v>
      </c>
      <c r="K14">
        <v>110</v>
      </c>
      <c r="L14">
        <v>100000</v>
      </c>
      <c r="M14">
        <v>110</v>
      </c>
    </row>
    <row r="15" spans="1:13">
      <c r="B15" t="s">
        <v>17</v>
      </c>
      <c r="C15" s="1">
        <v>100000</v>
      </c>
      <c r="D15" s="1">
        <v>100000</v>
      </c>
      <c r="E15" s="1">
        <v>100000</v>
      </c>
      <c r="F15">
        <v>120</v>
      </c>
      <c r="G15" s="1">
        <v>100000</v>
      </c>
      <c r="H15" s="1">
        <v>100000</v>
      </c>
      <c r="I15" s="1">
        <v>100000</v>
      </c>
      <c r="J15">
        <v>75</v>
      </c>
      <c r="K15">
        <v>140</v>
      </c>
      <c r="L15">
        <v>110</v>
      </c>
      <c r="M15">
        <v>100000</v>
      </c>
    </row>
    <row r="17" spans="1:16">
      <c r="A17" t="s">
        <v>3</v>
      </c>
      <c r="B17" t="s">
        <v>2</v>
      </c>
      <c r="C17" t="s">
        <v>7</v>
      </c>
      <c r="D17" t="s">
        <v>8</v>
      </c>
      <c r="E17" t="s">
        <v>9</v>
      </c>
      <c r="F17" t="s">
        <v>10</v>
      </c>
      <c r="G17" t="s">
        <v>11</v>
      </c>
      <c r="H17" t="s">
        <v>12</v>
      </c>
      <c r="I17" t="s">
        <v>13</v>
      </c>
      <c r="J17" t="s">
        <v>14</v>
      </c>
      <c r="K17" t="s">
        <v>15</v>
      </c>
      <c r="L17" t="s">
        <v>16</v>
      </c>
      <c r="M17" t="s">
        <v>17</v>
      </c>
      <c r="N17" t="s">
        <v>21</v>
      </c>
      <c r="P17" t="s">
        <v>23</v>
      </c>
    </row>
    <row r="18" spans="1:16">
      <c r="B18" t="s">
        <v>7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 t="s">
        <v>22</v>
      </c>
      <c r="P18">
        <f>SUM(C18:M18)</f>
        <v>1</v>
      </c>
    </row>
    <row r="19" spans="1:16">
      <c r="B19" t="s">
        <v>8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 t="s">
        <v>22</v>
      </c>
      <c r="P19">
        <f t="shared" ref="P19:P28" si="0">SUM(C19:M19)</f>
        <v>1</v>
      </c>
    </row>
    <row r="20" spans="1:16">
      <c r="B20" t="s">
        <v>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 t="s">
        <v>22</v>
      </c>
      <c r="P20">
        <f t="shared" si="0"/>
        <v>1</v>
      </c>
    </row>
    <row r="21" spans="1:16">
      <c r="B21" t="s">
        <v>10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 t="s">
        <v>22</v>
      </c>
      <c r="P21">
        <f t="shared" si="0"/>
        <v>1</v>
      </c>
    </row>
    <row r="22" spans="1:16">
      <c r="B22" t="s">
        <v>11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 t="s">
        <v>22</v>
      </c>
      <c r="P22">
        <f t="shared" si="0"/>
        <v>1</v>
      </c>
    </row>
    <row r="23" spans="1:16">
      <c r="B23" t="s">
        <v>12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 t="s">
        <v>22</v>
      </c>
      <c r="P23">
        <f t="shared" si="0"/>
        <v>1</v>
      </c>
    </row>
    <row r="24" spans="1:16">
      <c r="B24" t="s">
        <v>13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 t="s">
        <v>22</v>
      </c>
      <c r="P24">
        <f t="shared" si="0"/>
        <v>1</v>
      </c>
    </row>
    <row r="25" spans="1:16">
      <c r="B25" t="s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22</v>
      </c>
      <c r="P25">
        <f t="shared" si="0"/>
        <v>1</v>
      </c>
    </row>
    <row r="26" spans="1:16">
      <c r="B26" t="s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22</v>
      </c>
      <c r="P26">
        <f t="shared" si="0"/>
        <v>1</v>
      </c>
    </row>
    <row r="27" spans="1:16">
      <c r="B27" t="s">
        <v>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 t="s">
        <v>22</v>
      </c>
      <c r="P27">
        <f t="shared" si="0"/>
        <v>1</v>
      </c>
    </row>
    <row r="28" spans="1:16">
      <c r="B28" t="s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 t="s">
        <v>22</v>
      </c>
      <c r="P28">
        <f t="shared" si="0"/>
        <v>1</v>
      </c>
    </row>
    <row r="29" spans="1:16">
      <c r="B29" t="s">
        <v>21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6"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</row>
    <row r="31" spans="1:16">
      <c r="C31">
        <f>SUM(C18:C28)</f>
        <v>1</v>
      </c>
      <c r="D31">
        <f t="shared" ref="D31:M31" si="1">SUM(D18:D28)</f>
        <v>1</v>
      </c>
      <c r="E31">
        <f t="shared" si="1"/>
        <v>1</v>
      </c>
      <c r="F31">
        <f t="shared" si="1"/>
        <v>1</v>
      </c>
      <c r="G31">
        <f t="shared" si="1"/>
        <v>1</v>
      </c>
      <c r="H31">
        <f t="shared" si="1"/>
        <v>1</v>
      </c>
      <c r="I31">
        <f t="shared" si="1"/>
        <v>1</v>
      </c>
      <c r="J31">
        <f t="shared" si="1"/>
        <v>1</v>
      </c>
      <c r="K31">
        <f t="shared" si="1"/>
        <v>1</v>
      </c>
      <c r="L31">
        <f t="shared" si="1"/>
        <v>1</v>
      </c>
      <c r="M31">
        <f t="shared" si="1"/>
        <v>1</v>
      </c>
    </row>
    <row r="33" spans="1:3">
      <c r="A33" t="s">
        <v>24</v>
      </c>
      <c r="C33" t="s">
        <v>19</v>
      </c>
    </row>
    <row r="34" spans="1:3">
      <c r="B34" t="s">
        <v>18</v>
      </c>
      <c r="C34">
        <f>SUMPRODUCT(C5:M15,C18:M28)</f>
        <v>1005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765D-3246-354F-9B7E-3D9CAE0D0C2C}">
  <dimension ref="A1:L35"/>
  <sheetViews>
    <sheetView tabSelected="1" workbookViewId="0">
      <selection activeCell="G36" sqref="G36"/>
    </sheetView>
  </sheetViews>
  <sheetFormatPr baseColWidth="10" defaultRowHeight="18"/>
  <cols>
    <col min="6" max="6" width="13.7109375" customWidth="1"/>
    <col min="7" max="7" width="22.5703125" customWidth="1"/>
  </cols>
  <sheetData>
    <row r="1" spans="1:12">
      <c r="A1" t="s">
        <v>25</v>
      </c>
    </row>
    <row r="3" spans="1:12">
      <c r="A3" t="s">
        <v>1</v>
      </c>
    </row>
    <row r="4" spans="1:12">
      <c r="B4" t="s">
        <v>26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</row>
    <row r="5" spans="1:12">
      <c r="B5" t="s">
        <v>27</v>
      </c>
      <c r="C5">
        <v>8</v>
      </c>
      <c r="D5">
        <v>9</v>
      </c>
      <c r="E5">
        <v>5</v>
      </c>
      <c r="F5">
        <v>4</v>
      </c>
      <c r="G5">
        <v>2</v>
      </c>
      <c r="H5">
        <v>7</v>
      </c>
      <c r="I5">
        <v>3</v>
      </c>
      <c r="J5">
        <v>5</v>
      </c>
      <c r="K5">
        <v>10</v>
      </c>
      <c r="L5">
        <v>11</v>
      </c>
    </row>
    <row r="6" spans="1:12">
      <c r="B6" t="s">
        <v>28</v>
      </c>
      <c r="C6">
        <v>10</v>
      </c>
      <c r="D6">
        <v>32</v>
      </c>
      <c r="E6">
        <v>18</v>
      </c>
      <c r="F6">
        <v>25</v>
      </c>
      <c r="G6">
        <v>22</v>
      </c>
      <c r="H6">
        <v>34</v>
      </c>
      <c r="I6">
        <v>38</v>
      </c>
      <c r="J6">
        <v>40</v>
      </c>
      <c r="K6">
        <v>53</v>
      </c>
      <c r="L6">
        <v>45</v>
      </c>
    </row>
    <row r="8" spans="1:12">
      <c r="A8" t="s">
        <v>29</v>
      </c>
    </row>
    <row r="9" spans="1:12">
      <c r="B9" t="s">
        <v>26</v>
      </c>
      <c r="C9" t="s">
        <v>27</v>
      </c>
      <c r="D9" t="s">
        <v>28</v>
      </c>
      <c r="E9" t="s">
        <v>30</v>
      </c>
      <c r="F9" t="s">
        <v>31</v>
      </c>
    </row>
    <row r="10" spans="1:12">
      <c r="B10">
        <v>5</v>
      </c>
      <c r="C10">
        <v>2</v>
      </c>
      <c r="D10">
        <v>22</v>
      </c>
      <c r="E10">
        <v>2</v>
      </c>
      <c r="F10">
        <f>E10-D10</f>
        <v>-20</v>
      </c>
    </row>
    <row r="11" spans="1:12">
      <c r="B11">
        <v>7</v>
      </c>
      <c r="C11">
        <v>3</v>
      </c>
      <c r="D11">
        <v>38</v>
      </c>
      <c r="E11">
        <f>SUM(E10+C11)</f>
        <v>5</v>
      </c>
      <c r="F11">
        <f>E11-D11</f>
        <v>-33</v>
      </c>
    </row>
    <row r="12" spans="1:12">
      <c r="B12">
        <v>4</v>
      </c>
      <c r="C12">
        <v>4</v>
      </c>
      <c r="D12">
        <v>25</v>
      </c>
      <c r="E12">
        <f>SUM(E11+C12)</f>
        <v>9</v>
      </c>
      <c r="F12">
        <f>E12-D12</f>
        <v>-16</v>
      </c>
    </row>
    <row r="13" spans="1:12">
      <c r="B13">
        <v>3</v>
      </c>
      <c r="C13">
        <v>5</v>
      </c>
      <c r="D13">
        <v>18</v>
      </c>
      <c r="E13">
        <f>SUM(E12+C13)</f>
        <v>14</v>
      </c>
      <c r="F13">
        <f>E13-D13</f>
        <v>-4</v>
      </c>
    </row>
    <row r="14" spans="1:12">
      <c r="B14">
        <v>8</v>
      </c>
      <c r="C14">
        <v>5</v>
      </c>
      <c r="D14">
        <v>40</v>
      </c>
      <c r="E14">
        <f>SUM(E13+C14)</f>
        <v>19</v>
      </c>
      <c r="F14">
        <f>E14-D14</f>
        <v>-21</v>
      </c>
    </row>
    <row r="15" spans="1:12">
      <c r="B15">
        <v>6</v>
      </c>
      <c r="C15">
        <v>7</v>
      </c>
      <c r="D15">
        <v>34</v>
      </c>
      <c r="E15">
        <f>SUM(E14+C15)</f>
        <v>26</v>
      </c>
      <c r="F15">
        <f>E15-D15</f>
        <v>-8</v>
      </c>
    </row>
    <row r="16" spans="1:12">
      <c r="B16">
        <v>1</v>
      </c>
      <c r="C16">
        <v>8</v>
      </c>
      <c r="D16">
        <v>10</v>
      </c>
      <c r="E16">
        <f>SUM(E15+C16)</f>
        <v>34</v>
      </c>
      <c r="F16">
        <f>E16-D16</f>
        <v>24</v>
      </c>
    </row>
    <row r="17" spans="1:7">
      <c r="B17">
        <v>2</v>
      </c>
      <c r="C17">
        <v>9</v>
      </c>
      <c r="D17">
        <v>32</v>
      </c>
      <c r="E17">
        <f>SUM(E16+C17)</f>
        <v>43</v>
      </c>
      <c r="F17">
        <f>E17-D17</f>
        <v>11</v>
      </c>
    </row>
    <row r="18" spans="1:7">
      <c r="B18">
        <v>9</v>
      </c>
      <c r="C18">
        <v>10</v>
      </c>
      <c r="D18">
        <v>53</v>
      </c>
      <c r="E18">
        <f>SUM(E17+C18)</f>
        <v>53</v>
      </c>
      <c r="F18">
        <f>E18-D18</f>
        <v>0</v>
      </c>
    </row>
    <row r="19" spans="1:7">
      <c r="B19">
        <v>10</v>
      </c>
      <c r="C19">
        <v>11</v>
      </c>
      <c r="D19">
        <v>45</v>
      </c>
      <c r="E19">
        <f>SUM(E18+C19)</f>
        <v>64</v>
      </c>
      <c r="F19">
        <f>E19-D19</f>
        <v>19</v>
      </c>
    </row>
    <row r="20" spans="1:7">
      <c r="F20" t="s">
        <v>32</v>
      </c>
      <c r="G20" t="s">
        <v>33</v>
      </c>
    </row>
    <row r="21" spans="1:7">
      <c r="F21">
        <v>54</v>
      </c>
      <c r="G21">
        <v>24</v>
      </c>
    </row>
    <row r="22" spans="1:7">
      <c r="A22" t="s">
        <v>34</v>
      </c>
    </row>
    <row r="23" spans="1:7">
      <c r="B23" t="s">
        <v>26</v>
      </c>
      <c r="C23" t="s">
        <v>27</v>
      </c>
      <c r="D23" t="s">
        <v>28</v>
      </c>
      <c r="E23" t="s">
        <v>30</v>
      </c>
      <c r="F23" t="s">
        <v>31</v>
      </c>
    </row>
    <row r="24" spans="1:7">
      <c r="B24">
        <v>1</v>
      </c>
      <c r="C24">
        <v>8</v>
      </c>
      <c r="D24">
        <v>10</v>
      </c>
      <c r="E24">
        <v>8</v>
      </c>
      <c r="F24">
        <f>E24-D24</f>
        <v>-2</v>
      </c>
    </row>
    <row r="25" spans="1:7">
      <c r="B25">
        <v>3</v>
      </c>
      <c r="C25">
        <v>5</v>
      </c>
      <c r="D25">
        <v>18</v>
      </c>
      <c r="E25">
        <f>E24+C25</f>
        <v>13</v>
      </c>
      <c r="F25">
        <f>E25-D25</f>
        <v>-5</v>
      </c>
    </row>
    <row r="26" spans="1:7">
      <c r="B26">
        <v>5</v>
      </c>
      <c r="C26">
        <v>2</v>
      </c>
      <c r="D26">
        <v>22</v>
      </c>
      <c r="E26">
        <f>E25+C26</f>
        <v>15</v>
      </c>
      <c r="F26">
        <f>E26-D26</f>
        <v>-7</v>
      </c>
    </row>
    <row r="27" spans="1:7">
      <c r="B27">
        <v>4</v>
      </c>
      <c r="C27">
        <v>4</v>
      </c>
      <c r="D27">
        <v>25</v>
      </c>
      <c r="E27">
        <f>E26+C27</f>
        <v>19</v>
      </c>
      <c r="F27">
        <f>E27-D27</f>
        <v>-6</v>
      </c>
    </row>
    <row r="28" spans="1:7">
      <c r="B28">
        <v>2</v>
      </c>
      <c r="C28">
        <v>9</v>
      </c>
      <c r="D28">
        <v>32</v>
      </c>
      <c r="E28">
        <f>E27+C28</f>
        <v>28</v>
      </c>
      <c r="F28">
        <f>E28-D28</f>
        <v>-4</v>
      </c>
    </row>
    <row r="29" spans="1:7">
      <c r="B29">
        <v>6</v>
      </c>
      <c r="C29">
        <v>7</v>
      </c>
      <c r="D29">
        <v>34</v>
      </c>
      <c r="E29">
        <f>E28+C29</f>
        <v>35</v>
      </c>
      <c r="F29">
        <f>E29-D29</f>
        <v>1</v>
      </c>
    </row>
    <row r="30" spans="1:7">
      <c r="B30">
        <v>7</v>
      </c>
      <c r="C30">
        <v>3</v>
      </c>
      <c r="D30">
        <v>38</v>
      </c>
      <c r="E30">
        <f>E29+C30</f>
        <v>38</v>
      </c>
      <c r="F30">
        <f>E30-D30</f>
        <v>0</v>
      </c>
    </row>
    <row r="31" spans="1:7">
      <c r="B31">
        <v>8</v>
      </c>
      <c r="C31">
        <v>5</v>
      </c>
      <c r="D31">
        <v>40</v>
      </c>
      <c r="E31">
        <f>E30+C31</f>
        <v>43</v>
      </c>
      <c r="F31">
        <f>E31-D31</f>
        <v>3</v>
      </c>
    </row>
    <row r="32" spans="1:7">
      <c r="B32">
        <v>10</v>
      </c>
      <c r="C32">
        <v>11</v>
      </c>
      <c r="D32">
        <v>45</v>
      </c>
      <c r="E32">
        <f>E31+C32</f>
        <v>54</v>
      </c>
      <c r="F32">
        <f>E32-D32</f>
        <v>9</v>
      </c>
    </row>
    <row r="33" spans="2:7">
      <c r="B33">
        <v>9</v>
      </c>
      <c r="C33">
        <v>10</v>
      </c>
      <c r="D33">
        <v>53</v>
      </c>
      <c r="E33">
        <f>E32+C33</f>
        <v>64</v>
      </c>
      <c r="F33">
        <f>E33-D33</f>
        <v>11</v>
      </c>
    </row>
    <row r="34" spans="2:7">
      <c r="F34" t="s">
        <v>32</v>
      </c>
      <c r="G34" t="s">
        <v>33</v>
      </c>
    </row>
    <row r="35" spans="2:7">
      <c r="F35">
        <v>24</v>
      </c>
      <c r="G35">
        <v>11</v>
      </c>
    </row>
  </sheetData>
  <sortState xmlns:xlrd2="http://schemas.microsoft.com/office/spreadsheetml/2017/richdata2" ref="B24:D33">
    <sortCondition ref="D24:D3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진화해찾기</vt:lpstr>
      <vt:lpstr>휴리스틱해법</vt:lpstr>
      <vt:lpstr>연습문제 8.4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2021-04-09T01:29:19Z</dcterms:created>
  <dcterms:modified xsi:type="dcterms:W3CDTF">2021-04-09T02:24:23Z</dcterms:modified>
</cp:coreProperties>
</file>