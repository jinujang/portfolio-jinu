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1.실행/대학생활/2학년 1학기/ㄴ 경영과학1 및 실습/8~15주차/"/>
    </mc:Choice>
  </mc:AlternateContent>
  <xr:revisionPtr revIDLastSave="0" documentId="13_ncr:1_{7A7E6690-7813-6A4F-B073-4B3A2A47538F}" xr6:coauthVersionLast="45" xr6:coauthVersionMax="45" xr10:uidLastSave="{00000000-0000-0000-0000-000000000000}"/>
  <bookViews>
    <workbookView xWindow="15000" yWindow="460" windowWidth="12820" windowHeight="13260" xr2:uid="{FF9C3EC3-0070-F942-B5F8-D84659D1D6D6}"/>
  </bookViews>
  <sheets>
    <sheet name="Sheet1" sheetId="1" r:id="rId1"/>
    <sheet name="민감도 보고서 1" sheetId="2" r:id="rId2"/>
  </sheets>
  <definedNames>
    <definedName name="solver_adj" localSheetId="0" hidden="1">Sheet1!$C$10:$E$12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Sheet1!$C$13</definedName>
    <definedName name="solver_lhs2" localSheetId="0" hidden="1">Sheet1!$D$13</definedName>
    <definedName name="solver_lhs3" localSheetId="0" hidden="1">Sheet1!$E$13</definedName>
    <definedName name="solver_lhs4" localSheetId="0" hidden="1">Sheet1!$F$10</definedName>
    <definedName name="solver_lhs5" localSheetId="0" hidden="1">Sheet1!$F$11</definedName>
    <definedName name="solver_lhs6" localSheetId="0" hidden="1">Sheet1!$F$12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opt" localSheetId="0" hidden="1">Sheet1!$B$17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Sheet1!$C$15</definedName>
    <definedName name="solver_rhs2" localSheetId="0" hidden="1">Sheet1!$D$15</definedName>
    <definedName name="solver_rhs3" localSheetId="0" hidden="1">Sheet1!$E$15</definedName>
    <definedName name="solver_rhs4" localSheetId="0" hidden="1">Sheet1!$H$10</definedName>
    <definedName name="solver_rhs5" localSheetId="0" hidden="1">Sheet1!$H$11</definedName>
    <definedName name="solver_rhs6" localSheetId="0" hidden="1">Sheet1!$H$12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1" l="1"/>
  <c r="F11" i="1"/>
  <c r="F12" i="1"/>
  <c r="D13" i="1"/>
  <c r="E13" i="1"/>
  <c r="F10" i="1"/>
  <c r="C13" i="1"/>
</calcChain>
</file>

<file path=xl/sharedStrings.xml><?xml version="1.0" encoding="utf-8"?>
<sst xmlns="http://schemas.openxmlformats.org/spreadsheetml/2006/main" count="104" uniqueCount="81">
  <si>
    <t>현대 USA의 수송문제</t>
    <phoneticPr fontId="2" type="noConversion"/>
  </si>
  <si>
    <t>수송거리표</t>
    <phoneticPr fontId="2" type="noConversion"/>
  </si>
  <si>
    <t>(천원)</t>
    <phoneticPr fontId="2" type="noConversion"/>
  </si>
  <si>
    <t>수요처(딜러)</t>
    <phoneticPr fontId="2" type="noConversion"/>
  </si>
  <si>
    <t>루이스빌</t>
    <phoneticPr fontId="2" type="noConversion"/>
  </si>
  <si>
    <t>내시빌</t>
    <phoneticPr fontId="2" type="noConversion"/>
  </si>
  <si>
    <t>헌쓰빌</t>
    <phoneticPr fontId="2" type="noConversion"/>
  </si>
  <si>
    <t>공급가능량</t>
    <phoneticPr fontId="2" type="noConversion"/>
  </si>
  <si>
    <t>시카고</t>
    <phoneticPr fontId="2" type="noConversion"/>
  </si>
  <si>
    <t>멤피스</t>
    <phoneticPr fontId="2" type="noConversion"/>
  </si>
  <si>
    <t>찰스톤</t>
    <phoneticPr fontId="2" type="noConversion"/>
  </si>
  <si>
    <t>부품수요량</t>
    <phoneticPr fontId="2" type="noConversion"/>
  </si>
  <si>
    <t>공급처(PDC)</t>
    <phoneticPr fontId="2" type="noConversion"/>
  </si>
  <si>
    <t>수송량 배정</t>
    <phoneticPr fontId="2" type="noConversion"/>
  </si>
  <si>
    <t>공급처</t>
    <phoneticPr fontId="2" type="noConversion"/>
  </si>
  <si>
    <t>(PDC)</t>
    <phoneticPr fontId="2" type="noConversion"/>
  </si>
  <si>
    <t>공급받은량</t>
    <phoneticPr fontId="2" type="noConversion"/>
  </si>
  <si>
    <t>총 수송비용</t>
    <phoneticPr fontId="2" type="noConversion"/>
  </si>
  <si>
    <t>공급한 량</t>
    <phoneticPr fontId="2" type="noConversion"/>
  </si>
  <si>
    <t>&gt;=</t>
    <phoneticPr fontId="2" type="noConversion"/>
  </si>
  <si>
    <t>&lt;=</t>
    <phoneticPr fontId="2" type="noConversion"/>
  </si>
  <si>
    <t>Microsoft Excel 16.37 민감도 보고서</t>
  </si>
  <si>
    <t>워크시트 이름: [통합 문서1]Sheet1</t>
  </si>
  <si>
    <t>보고서 작성일: 2020. 5. 26. 9:25:32 오전</t>
  </si>
  <si>
    <t>변수 셀</t>
  </si>
  <si>
    <t>셀</t>
  </si>
  <si>
    <t>이름</t>
  </si>
  <si>
    <t>계산</t>
  </si>
  <si>
    <t>값</t>
  </si>
  <si>
    <t>한계</t>
  </si>
  <si>
    <t>비용</t>
  </si>
  <si>
    <t>목표 셀</t>
  </si>
  <si>
    <t>계수</t>
  </si>
  <si>
    <t>허용 가능</t>
  </si>
  <si>
    <t>증가치</t>
  </si>
  <si>
    <t>감소치</t>
  </si>
  <si>
    <t>제한 조건</t>
  </si>
  <si>
    <t>잠재</t>
  </si>
  <si>
    <t>가격</t>
  </si>
  <si>
    <t>우변</t>
  </si>
  <si>
    <t>$C$10</t>
  </si>
  <si>
    <t>시카고 루이스빌</t>
  </si>
  <si>
    <t>$D$10</t>
  </si>
  <si>
    <t>시카고 내시빌</t>
  </si>
  <si>
    <t>$E$10</t>
  </si>
  <si>
    <t>시카고 헌쓰빌</t>
  </si>
  <si>
    <t>$C$11</t>
  </si>
  <si>
    <t>멤피스 루이스빌</t>
  </si>
  <si>
    <t>$D$11</t>
  </si>
  <si>
    <t>멤피스 내시빌</t>
  </si>
  <si>
    <t>$E$11</t>
  </si>
  <si>
    <t>멤피스 헌쓰빌</t>
  </si>
  <si>
    <t>$C$12</t>
  </si>
  <si>
    <t>찰스톤 루이스빌</t>
  </si>
  <si>
    <t>$D$12</t>
  </si>
  <si>
    <t>찰스톤 내시빌</t>
  </si>
  <si>
    <t>$E$12</t>
  </si>
  <si>
    <t>찰스톤 헌쓰빌</t>
  </si>
  <si>
    <t>$C$13</t>
  </si>
  <si>
    <t>공급받은량 루이스빌</t>
  </si>
  <si>
    <t>$D$13</t>
  </si>
  <si>
    <t>공급받은량 내시빌</t>
  </si>
  <si>
    <t>$E$13</t>
  </si>
  <si>
    <t>공급받은량 헌쓰빌</t>
  </si>
  <si>
    <t>$F$10</t>
  </si>
  <si>
    <t>시카고 공급한 량</t>
  </si>
  <si>
    <t>$F$11</t>
  </si>
  <si>
    <t>멤피스 공급한 량</t>
  </si>
  <si>
    <t>$F$12</t>
  </si>
  <si>
    <t>찰스톤 공급한 량</t>
  </si>
  <si>
    <t>2. 수송비용</t>
    <phoneticPr fontId="2" type="noConversion"/>
  </si>
  <si>
    <t>120(천원)</t>
    <phoneticPr fontId="2" type="noConversion"/>
  </si>
  <si>
    <t>3.총 수송비용 변화</t>
    <phoneticPr fontId="2" type="noConversion"/>
  </si>
  <si>
    <t>5000증가</t>
    <phoneticPr fontId="2" type="noConversion"/>
  </si>
  <si>
    <t>찰스톤 내시빌의 한계비용</t>
    <phoneticPr fontId="2" type="noConversion"/>
  </si>
  <si>
    <t>4. 내시빌 한계비용</t>
    <phoneticPr fontId="2" type="noConversion"/>
  </si>
  <si>
    <t>5.공급량 늘릴곳</t>
    <phoneticPr fontId="2" type="noConversion"/>
  </si>
  <si>
    <t>잠재가격</t>
    <phoneticPr fontId="2" type="noConversion"/>
  </si>
  <si>
    <t>멤피스가 -100으로 가장많이 줄어듬</t>
    <phoneticPr fontId="2" type="noConversion"/>
  </si>
  <si>
    <t>6. 루이스 수요량증가시 수요감소도시</t>
    <phoneticPr fontId="2" type="noConversion"/>
  </si>
  <si>
    <t>헌쓰빌을 수요량을 충족시키지 못하는것이 유리하다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</si>
</sst>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indexed="1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1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F63D-3045-E342-B610-ECE2279103B6}">
  <dimension ref="A1:H29"/>
  <sheetViews>
    <sheetView tabSelected="1" topLeftCell="A12" workbookViewId="0">
      <selection activeCell="D30" sqref="D30"/>
    </sheetView>
  </sheetViews>
  <sheetFormatPr baseColWidth="10" defaultRowHeight="18"/>
  <sheetData>
    <row r="1" spans="1:8">
      <c r="A1" t="s">
        <v>0</v>
      </c>
    </row>
    <row r="2" spans="1:8">
      <c r="D2" t="s">
        <v>3</v>
      </c>
    </row>
    <row r="3" spans="1:8">
      <c r="A3" t="s">
        <v>1</v>
      </c>
      <c r="B3" t="s">
        <v>2</v>
      </c>
      <c r="C3" t="s">
        <v>4</v>
      </c>
      <c r="D3" t="s">
        <v>5</v>
      </c>
      <c r="E3" t="s">
        <v>6</v>
      </c>
      <c r="F3" t="s">
        <v>7</v>
      </c>
    </row>
    <row r="4" spans="1:8">
      <c r="B4" t="s">
        <v>8</v>
      </c>
      <c r="C4" s="10">
        <v>300</v>
      </c>
      <c r="D4" s="11">
        <v>550</v>
      </c>
      <c r="E4" s="12">
        <v>700</v>
      </c>
      <c r="F4" s="19">
        <v>1500</v>
      </c>
    </row>
    <row r="5" spans="1:8">
      <c r="A5" t="s">
        <v>12</v>
      </c>
      <c r="B5" t="s">
        <v>9</v>
      </c>
      <c r="C5" s="13">
        <v>420</v>
      </c>
      <c r="D5" s="14">
        <v>200</v>
      </c>
      <c r="E5" s="15">
        <v>500</v>
      </c>
      <c r="F5" s="19">
        <v>2300</v>
      </c>
    </row>
    <row r="6" spans="1:8">
      <c r="B6" t="s">
        <v>10</v>
      </c>
      <c r="C6" s="16">
        <v>320</v>
      </c>
      <c r="D6" s="17">
        <v>350</v>
      </c>
      <c r="E6" s="18">
        <v>600</v>
      </c>
      <c r="F6" s="19">
        <v>2850</v>
      </c>
    </row>
    <row r="7" spans="1:8">
      <c r="B7" t="s">
        <v>11</v>
      </c>
      <c r="C7" s="19">
        <v>2450</v>
      </c>
      <c r="D7" s="19">
        <v>2000</v>
      </c>
      <c r="E7" s="19">
        <v>2200</v>
      </c>
    </row>
    <row r="9" spans="1:8">
      <c r="A9" t="s">
        <v>13</v>
      </c>
      <c r="C9" t="s">
        <v>4</v>
      </c>
      <c r="D9" t="s">
        <v>5</v>
      </c>
      <c r="E9" t="s">
        <v>6</v>
      </c>
      <c r="F9" t="s">
        <v>18</v>
      </c>
      <c r="H9" t="s">
        <v>7</v>
      </c>
    </row>
    <row r="10" spans="1:8">
      <c r="B10" t="s">
        <v>8</v>
      </c>
      <c r="C10" s="1">
        <v>1500</v>
      </c>
      <c r="D10" s="2">
        <v>0</v>
      </c>
      <c r="E10" s="3">
        <v>0</v>
      </c>
      <c r="F10">
        <f>SUM(C10:E10)</f>
        <v>1500</v>
      </c>
      <c r="G10" t="s">
        <v>20</v>
      </c>
      <c r="H10" s="19">
        <v>1500</v>
      </c>
    </row>
    <row r="11" spans="1:8">
      <c r="A11" t="s">
        <v>14</v>
      </c>
      <c r="B11" t="s">
        <v>9</v>
      </c>
      <c r="C11" s="4">
        <v>0</v>
      </c>
      <c r="D11" s="5">
        <v>1900</v>
      </c>
      <c r="E11" s="6">
        <v>400</v>
      </c>
      <c r="F11">
        <f t="shared" ref="F11:F12" si="0">SUM(C11:E11)</f>
        <v>2300</v>
      </c>
      <c r="G11" t="s">
        <v>20</v>
      </c>
      <c r="H11" s="19">
        <v>2300</v>
      </c>
    </row>
    <row r="12" spans="1:8">
      <c r="A12" t="s">
        <v>15</v>
      </c>
      <c r="B12" t="s">
        <v>10</v>
      </c>
      <c r="C12" s="7">
        <v>950</v>
      </c>
      <c r="D12" s="8">
        <v>100</v>
      </c>
      <c r="E12" s="9">
        <v>1800</v>
      </c>
      <c r="F12">
        <f t="shared" si="0"/>
        <v>2850</v>
      </c>
      <c r="G12" t="s">
        <v>20</v>
      </c>
      <c r="H12" s="19">
        <v>2850</v>
      </c>
    </row>
    <row r="13" spans="1:8">
      <c r="B13" t="s">
        <v>16</v>
      </c>
      <c r="C13">
        <f>SUM(C10:C12)</f>
        <v>2450</v>
      </c>
      <c r="D13">
        <f t="shared" ref="D13:E13" si="1">SUM(D10:D12)</f>
        <v>2000</v>
      </c>
      <c r="E13">
        <f t="shared" si="1"/>
        <v>2200</v>
      </c>
    </row>
    <row r="14" spans="1:8">
      <c r="C14" t="s">
        <v>19</v>
      </c>
      <c r="D14" t="s">
        <v>19</v>
      </c>
      <c r="E14" t="s">
        <v>19</v>
      </c>
    </row>
    <row r="15" spans="1:8">
      <c r="B15" t="s">
        <v>11</v>
      </c>
      <c r="C15" s="19">
        <v>2450</v>
      </c>
      <c r="D15" s="19">
        <v>2000</v>
      </c>
      <c r="E15" s="19">
        <v>2200</v>
      </c>
    </row>
    <row r="17" spans="1:4">
      <c r="A17" t="s">
        <v>17</v>
      </c>
      <c r="B17">
        <f>SUMPRODUCT(C4:E6,C10:E12)</f>
        <v>2449000</v>
      </c>
    </row>
    <row r="20" spans="1:4">
      <c r="A20" t="s">
        <v>70</v>
      </c>
      <c r="B20" t="s">
        <v>71</v>
      </c>
    </row>
    <row r="22" spans="1:4">
      <c r="A22" t="s">
        <v>72</v>
      </c>
      <c r="C22" t="s">
        <v>73</v>
      </c>
      <c r="D22" t="s">
        <v>2</v>
      </c>
    </row>
    <row r="23" spans="1:4">
      <c r="C23" t="s">
        <v>74</v>
      </c>
    </row>
    <row r="25" spans="1:4">
      <c r="A25" t="s">
        <v>75</v>
      </c>
      <c r="C25">
        <v>270</v>
      </c>
    </row>
    <row r="27" spans="1:4">
      <c r="A27" t="s">
        <v>76</v>
      </c>
      <c r="C27" t="s">
        <v>77</v>
      </c>
      <c r="D27" t="s">
        <v>78</v>
      </c>
    </row>
    <row r="29" spans="1:4">
      <c r="A29" t="s">
        <v>79</v>
      </c>
      <c r="D29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B468-32BA-6046-B4A4-E6B50CD6B3F1}">
  <dimension ref="A1:H27"/>
  <sheetViews>
    <sheetView showGridLines="0" topLeftCell="A10" workbookViewId="0">
      <selection activeCell="E23" sqref="E23"/>
    </sheetView>
  </sheetViews>
  <sheetFormatPr baseColWidth="10" defaultRowHeight="18"/>
  <cols>
    <col min="1" max="1" width="2.28515625" customWidth="1"/>
    <col min="2" max="2" width="7" bestFit="1" customWidth="1"/>
    <col min="3" max="3" width="18.28515625" bestFit="1" customWidth="1"/>
    <col min="4" max="4" width="5.7109375" bestFit="1" customWidth="1"/>
    <col min="5" max="5" width="5.42578125" bestFit="1" customWidth="1"/>
    <col min="6" max="8" width="9.140625" bestFit="1" customWidth="1"/>
  </cols>
  <sheetData>
    <row r="1" spans="1:8">
      <c r="A1" s="20" t="s">
        <v>21</v>
      </c>
    </row>
    <row r="2" spans="1:8">
      <c r="A2" s="20" t="s">
        <v>22</v>
      </c>
    </row>
    <row r="3" spans="1:8">
      <c r="A3" s="20" t="s">
        <v>23</v>
      </c>
    </row>
    <row r="6" spans="1:8" ht="19" thickBot="1">
      <c r="A6" t="s">
        <v>24</v>
      </c>
    </row>
    <row r="7" spans="1:8">
      <c r="B7" s="23"/>
      <c r="C7" s="23"/>
      <c r="D7" s="23" t="s">
        <v>27</v>
      </c>
      <c r="E7" s="23" t="s">
        <v>29</v>
      </c>
      <c r="F7" s="23" t="s">
        <v>31</v>
      </c>
      <c r="G7" s="23" t="s">
        <v>33</v>
      </c>
      <c r="H7" s="23" t="s">
        <v>33</v>
      </c>
    </row>
    <row r="8" spans="1:8" ht="19" thickBot="1">
      <c r="B8" s="24" t="s">
        <v>25</v>
      </c>
      <c r="C8" s="24" t="s">
        <v>26</v>
      </c>
      <c r="D8" s="24" t="s">
        <v>28</v>
      </c>
      <c r="E8" s="24" t="s">
        <v>30</v>
      </c>
      <c r="F8" s="24" t="s">
        <v>32</v>
      </c>
      <c r="G8" s="24" t="s">
        <v>34</v>
      </c>
      <c r="H8" s="24" t="s">
        <v>35</v>
      </c>
    </row>
    <row r="9" spans="1:8">
      <c r="B9" s="21" t="s">
        <v>40</v>
      </c>
      <c r="C9" s="21" t="s">
        <v>41</v>
      </c>
      <c r="D9" s="21">
        <v>1500</v>
      </c>
      <c r="E9" s="21">
        <v>0</v>
      </c>
      <c r="F9" s="21">
        <v>300</v>
      </c>
      <c r="G9" s="21">
        <v>20</v>
      </c>
      <c r="H9" s="21">
        <v>1E+30</v>
      </c>
    </row>
    <row r="10" spans="1:8">
      <c r="B10" s="21" t="s">
        <v>42</v>
      </c>
      <c r="C10" s="21" t="s">
        <v>43</v>
      </c>
      <c r="D10" s="21">
        <v>0</v>
      </c>
      <c r="E10" s="21">
        <v>270</v>
      </c>
      <c r="F10" s="21">
        <v>550</v>
      </c>
      <c r="G10" s="21">
        <v>1E+30</v>
      </c>
      <c r="H10" s="21">
        <v>270</v>
      </c>
    </row>
    <row r="11" spans="1:8">
      <c r="B11" s="21" t="s">
        <v>44</v>
      </c>
      <c r="C11" s="21" t="s">
        <v>45</v>
      </c>
      <c r="D11" s="21">
        <v>0</v>
      </c>
      <c r="E11" s="21">
        <v>120</v>
      </c>
      <c r="F11" s="21">
        <v>700</v>
      </c>
      <c r="G11" s="21">
        <v>1E+30</v>
      </c>
      <c r="H11" s="21">
        <v>120</v>
      </c>
    </row>
    <row r="12" spans="1:8">
      <c r="B12" s="21" t="s">
        <v>46</v>
      </c>
      <c r="C12" s="21" t="s">
        <v>47</v>
      </c>
      <c r="D12" s="21">
        <v>0</v>
      </c>
      <c r="E12" s="21">
        <v>200</v>
      </c>
      <c r="F12" s="21">
        <v>420</v>
      </c>
      <c r="G12" s="21">
        <v>1E+30</v>
      </c>
      <c r="H12" s="21">
        <v>200</v>
      </c>
    </row>
    <row r="13" spans="1:8">
      <c r="B13" s="21" t="s">
        <v>48</v>
      </c>
      <c r="C13" s="21" t="s">
        <v>49</v>
      </c>
      <c r="D13" s="21">
        <v>2000</v>
      </c>
      <c r="E13" s="21">
        <v>0</v>
      </c>
      <c r="F13" s="21">
        <v>200</v>
      </c>
      <c r="G13" s="21">
        <v>50</v>
      </c>
      <c r="H13" s="21">
        <v>300</v>
      </c>
    </row>
    <row r="14" spans="1:8">
      <c r="B14" s="21" t="s">
        <v>50</v>
      </c>
      <c r="C14" s="21" t="s">
        <v>51</v>
      </c>
      <c r="D14" s="21">
        <v>300</v>
      </c>
      <c r="E14" s="21">
        <v>0</v>
      </c>
      <c r="F14" s="21">
        <v>500</v>
      </c>
      <c r="G14" s="21">
        <v>100</v>
      </c>
      <c r="H14" s="21">
        <v>50</v>
      </c>
    </row>
    <row r="15" spans="1:8">
      <c r="B15" s="21" t="s">
        <v>52</v>
      </c>
      <c r="C15" s="21" t="s">
        <v>53</v>
      </c>
      <c r="D15" s="21">
        <v>950</v>
      </c>
      <c r="E15" s="21">
        <v>0</v>
      </c>
      <c r="F15" s="21">
        <v>320</v>
      </c>
      <c r="G15" s="21">
        <v>200</v>
      </c>
      <c r="H15" s="21">
        <v>20</v>
      </c>
    </row>
    <row r="16" spans="1:8">
      <c r="B16" s="21" t="s">
        <v>54</v>
      </c>
      <c r="C16" s="21" t="s">
        <v>55</v>
      </c>
      <c r="D16" s="21">
        <v>0</v>
      </c>
      <c r="E16" s="21">
        <v>50</v>
      </c>
      <c r="F16" s="21">
        <v>350</v>
      </c>
      <c r="G16" s="21">
        <v>1E+30</v>
      </c>
      <c r="H16" s="21">
        <v>50</v>
      </c>
    </row>
    <row r="17" spans="1:8" ht="19" thickBot="1">
      <c r="B17" s="22" t="s">
        <v>56</v>
      </c>
      <c r="C17" s="22" t="s">
        <v>57</v>
      </c>
      <c r="D17" s="22">
        <v>1900</v>
      </c>
      <c r="E17" s="22">
        <v>0</v>
      </c>
      <c r="F17" s="22">
        <v>600</v>
      </c>
      <c r="G17" s="22">
        <v>50</v>
      </c>
      <c r="H17" s="22">
        <v>100</v>
      </c>
    </row>
    <row r="19" spans="1:8" ht="19" thickBot="1">
      <c r="A19" t="s">
        <v>36</v>
      </c>
    </row>
    <row r="20" spans="1:8">
      <c r="B20" s="23"/>
      <c r="C20" s="23"/>
      <c r="D20" s="23" t="s">
        <v>27</v>
      </c>
      <c r="E20" s="23" t="s">
        <v>37</v>
      </c>
      <c r="F20" s="23" t="s">
        <v>36</v>
      </c>
      <c r="G20" s="23" t="s">
        <v>33</v>
      </c>
      <c r="H20" s="23" t="s">
        <v>33</v>
      </c>
    </row>
    <row r="21" spans="1:8" ht="19" thickBot="1">
      <c r="B21" s="24" t="s">
        <v>25</v>
      </c>
      <c r="C21" s="24" t="s">
        <v>26</v>
      </c>
      <c r="D21" s="24" t="s">
        <v>28</v>
      </c>
      <c r="E21" s="24" t="s">
        <v>38</v>
      </c>
      <c r="F21" s="24" t="s">
        <v>39</v>
      </c>
      <c r="G21" s="24" t="s">
        <v>34</v>
      </c>
      <c r="H21" s="24" t="s">
        <v>35</v>
      </c>
    </row>
    <row r="22" spans="1:8">
      <c r="B22" s="21" t="s">
        <v>58</v>
      </c>
      <c r="C22" s="21" t="s">
        <v>59</v>
      </c>
      <c r="D22" s="21">
        <v>2450</v>
      </c>
      <c r="E22" s="21">
        <v>320</v>
      </c>
      <c r="F22" s="21">
        <v>2450</v>
      </c>
      <c r="G22" s="21">
        <v>0</v>
      </c>
      <c r="H22" s="21">
        <v>950</v>
      </c>
    </row>
    <row r="23" spans="1:8">
      <c r="B23" s="21" t="s">
        <v>60</v>
      </c>
      <c r="C23" s="21" t="s">
        <v>61</v>
      </c>
      <c r="D23" s="21">
        <v>2000</v>
      </c>
      <c r="E23" s="21">
        <v>300</v>
      </c>
      <c r="F23" s="21">
        <v>2000</v>
      </c>
      <c r="G23" s="21">
        <v>0</v>
      </c>
      <c r="H23" s="21">
        <v>1900</v>
      </c>
    </row>
    <row r="24" spans="1:8">
      <c r="B24" s="21" t="s">
        <v>62</v>
      </c>
      <c r="C24" s="21" t="s">
        <v>63</v>
      </c>
      <c r="D24" s="21">
        <v>2200</v>
      </c>
      <c r="E24" s="21">
        <v>600</v>
      </c>
      <c r="F24" s="21">
        <v>2200</v>
      </c>
      <c r="G24" s="21">
        <v>0</v>
      </c>
      <c r="H24" s="21">
        <v>1900</v>
      </c>
    </row>
    <row r="25" spans="1:8">
      <c r="B25" s="21" t="s">
        <v>64</v>
      </c>
      <c r="C25" s="21" t="s">
        <v>65</v>
      </c>
      <c r="D25" s="21">
        <v>1500</v>
      </c>
      <c r="E25" s="21">
        <v>-20</v>
      </c>
      <c r="F25" s="21">
        <v>1500</v>
      </c>
      <c r="G25" s="21">
        <v>950</v>
      </c>
      <c r="H25" s="21">
        <v>0</v>
      </c>
    </row>
    <row r="26" spans="1:8">
      <c r="B26" s="21" t="s">
        <v>66</v>
      </c>
      <c r="C26" s="21" t="s">
        <v>67</v>
      </c>
      <c r="D26" s="21">
        <v>2300</v>
      </c>
      <c r="E26" s="21">
        <v>-100</v>
      </c>
      <c r="F26" s="21">
        <v>2300</v>
      </c>
      <c r="G26" s="21">
        <v>1900</v>
      </c>
      <c r="H26" s="21">
        <v>0</v>
      </c>
    </row>
    <row r="27" spans="1:8" ht="19" thickBot="1">
      <c r="B27" s="22" t="s">
        <v>68</v>
      </c>
      <c r="C27" s="22" t="s">
        <v>69</v>
      </c>
      <c r="D27" s="22">
        <v>2850</v>
      </c>
      <c r="E27" s="22">
        <v>0</v>
      </c>
      <c r="F27" s="22">
        <v>2850</v>
      </c>
      <c r="G27" s="22">
        <v>1E+30</v>
      </c>
      <c r="H27" s="2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민감도 보고서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2020-05-26T00:01:02Z</dcterms:created>
  <dcterms:modified xsi:type="dcterms:W3CDTF">2020-05-26T00:55:15Z</dcterms:modified>
</cp:coreProperties>
</file>